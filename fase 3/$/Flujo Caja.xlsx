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enario Peor" sheetId="1" r:id="rId4"/>
    <sheet state="visible" name="Escenario Medio" sheetId="2" r:id="rId5"/>
    <sheet state="visible" name="Escenario Mejor" sheetId="3" r:id="rId6"/>
    <sheet state="visible" name="Resumen Costos" sheetId="4" r:id="rId7"/>
    <sheet state="visible" name="Comparativo Escenarios" sheetId="5" r:id="rId8"/>
    <sheet state="visible" name="Análisis Financiero" sheetId="6" r:id="rId9"/>
    <sheet state="visible" name="Copia de Análisis Financiero" sheetId="7" r:id="rId10"/>
  </sheets>
  <definedNames/>
  <calcPr/>
  <extLst>
    <ext uri="GoogleSheetsCustomDataVersion2">
      <go:sheetsCustomData xmlns:go="http://customooxmlschemas.google.com/" r:id="rId11" roundtripDataChecksum="KwyCxn4GOIs83mVpuECumyhIeZoaSCmrg7kvEyzUNwE="/>
    </ext>
  </extLst>
</workbook>
</file>

<file path=xl/sharedStrings.xml><?xml version="1.0" encoding="utf-8"?>
<sst xmlns="http://schemas.openxmlformats.org/spreadsheetml/2006/main" count="538" uniqueCount="237">
  <si>
    <t>Mes</t>
  </si>
  <si>
    <t>Ingresos (Ahorro)</t>
  </si>
  <si>
    <t>Egresos (Costo Fijo)</t>
  </si>
  <si>
    <t>Flujo Neto (Proyecto)</t>
  </si>
  <si>
    <t>Flujo Acumulado (con inversión)</t>
  </si>
  <si>
    <t>(Inv.)</t>
  </si>
  <si>
    <t>$-7.486.745$</t>
  </si>
  <si>
    <t>Enero</t>
  </si>
  <si>
    <t>$1.500.000$</t>
  </si>
  <si>
    <t>$500.000$</t>
  </si>
  <si>
    <t>$1.000.000$</t>
  </si>
  <si>
    <t>$-6.486.745$</t>
  </si>
  <si>
    <t>Febrero</t>
  </si>
  <si>
    <t>$-5.486.745$</t>
  </si>
  <si>
    <t>Marzo</t>
  </si>
  <si>
    <t>$-4.486.745$</t>
  </si>
  <si>
    <t>Abril</t>
  </si>
  <si>
    <t>$-3.486.745$</t>
  </si>
  <si>
    <t>Mayo</t>
  </si>
  <si>
    <t>$-2.486.745$</t>
  </si>
  <si>
    <t>Junio</t>
  </si>
  <si>
    <t>$-1.486.745$</t>
  </si>
  <si>
    <t>Julio</t>
  </si>
  <si>
    <t>$-486.745$</t>
  </si>
  <si>
    <t>Agosto</t>
  </si>
  <si>
    <t>$513.255$</t>
  </si>
  <si>
    <t>Septiembre</t>
  </si>
  <si>
    <t>$1.513.255$</t>
  </si>
  <si>
    <t>Octubre</t>
  </si>
  <si>
    <t>$2.513.255$</t>
  </si>
  <si>
    <t>Noviembre</t>
  </si>
  <si>
    <t>$3.513.255$</t>
  </si>
  <si>
    <t>Diciembre</t>
  </si>
  <si>
    <t>$4.513.255$</t>
  </si>
  <si>
    <t>Total Anual</t>
  </si>
  <si>
    <t>$18.000.000$</t>
  </si>
  <si>
    <t>$6.000.000$</t>
  </si>
  <si>
    <t>$12.000.000$</t>
  </si>
  <si>
    <t>$3.000.000$</t>
  </si>
  <si>
    <t>$2.500.000$</t>
  </si>
  <si>
    <t>$-4.986.745$</t>
  </si>
  <si>
    <t>$13.255$</t>
  </si>
  <si>
    <t>$5.013.255$</t>
  </si>
  <si>
    <t>$7.513.255$</t>
  </si>
  <si>
    <t>$10.013.255$</t>
  </si>
  <si>
    <t>$12.513.255$</t>
  </si>
  <si>
    <t>$15.013.255$</t>
  </si>
  <si>
    <t>$17.513.255$</t>
  </si>
  <si>
    <t>$20.013.255$</t>
  </si>
  <si>
    <t>$22.513.255$</t>
  </si>
  <si>
    <t>$36.000.000$</t>
  </si>
  <si>
    <t>$30.000.000$</t>
  </si>
  <si>
    <t>$4.500.000$</t>
  </si>
  <si>
    <t>$4.000.000$</t>
  </si>
  <si>
    <t>$8.513.255$</t>
  </si>
  <si>
    <t>$16.513.255$</t>
  </si>
  <si>
    <t>$20.513.255$</t>
  </si>
  <si>
    <t>$24.513.255$</t>
  </si>
  <si>
    <t>$28.513.255$</t>
  </si>
  <si>
    <t>$32.513.255$</t>
  </si>
  <si>
    <t>$36.513.255$</t>
  </si>
  <si>
    <t>$40.513.255$</t>
  </si>
  <si>
    <t>$54.000.000$</t>
  </si>
  <si>
    <t>$48.000.000$</t>
  </si>
  <si>
    <t>Concepto</t>
  </si>
  <si>
    <t>Costos</t>
  </si>
  <si>
    <t>Fase App Móvil</t>
  </si>
  <si>
    <t>$2.327.750</t>
  </si>
  <si>
    <t>Fase Web + BD</t>
  </si>
  <si>
    <t>$2.483.305</t>
  </si>
  <si>
    <t>Costos Extras (Mantencion, Servidores, etc.)</t>
  </si>
  <si>
    <t>$2.675.690</t>
  </si>
  <si>
    <t>Inversión Total (Mes 0)</t>
  </si>
  <si>
    <t>$7.486.745</t>
  </si>
  <si>
    <t>Costos Fijos Mensuales (OPEX)</t>
  </si>
  <si>
    <t>$500.000</t>
  </si>
  <si>
    <t>(Servidores, Dominio, Soporte Básico)</t>
  </si>
  <si>
    <t>Escenario</t>
  </si>
  <si>
    <t>Total Ingresos (Ahorro)</t>
  </si>
  <si>
    <t>Total Egresos (Costos Fijos)</t>
  </si>
  <si>
    <t>Total Flujo Neto (Utilidad)</t>
  </si>
  <si>
    <t>Peor</t>
  </si>
  <si>
    <t>Medio</t>
  </si>
  <si>
    <t>Mejor</t>
  </si>
  <si>
    <t>Flujo de caja sin software</t>
  </si>
  <si>
    <t>Ingresos</t>
  </si>
  <si>
    <t>Egresos</t>
  </si>
  <si>
    <t>Utilidad</t>
  </si>
  <si>
    <t>Utilidad Acumulada</t>
  </si>
  <si>
    <t>$1.500.000.000</t>
  </si>
  <si>
    <t>$1.200.000.000</t>
  </si>
  <si>
    <t>$300.000.000</t>
  </si>
  <si>
    <t>$1.575.000.000</t>
  </si>
  <si>
    <t>$1.260.000.000</t>
  </si>
  <si>
    <t>$315.000.000</t>
  </si>
  <si>
    <t>$615.000.000</t>
  </si>
  <si>
    <t>$1.653.750.000</t>
  </si>
  <si>
    <t>$1.323.000.000</t>
  </si>
  <si>
    <t>$330.750.000</t>
  </si>
  <si>
    <t>$945.750.000</t>
  </si>
  <si>
    <t>$1.736.437.000</t>
  </si>
  <si>
    <t>$1.389.149.600</t>
  </si>
  <si>
    <t>$347.287.400</t>
  </si>
  <si>
    <t>$1.293.037.400</t>
  </si>
  <si>
    <t>$1.823.259.000</t>
  </si>
  <si>
    <t>$1.458.607.200</t>
  </si>
  <si>
    <t>$364.651.800</t>
  </si>
  <si>
    <t>$1.657.689.200</t>
  </si>
  <si>
    <t>$1.914.422.000</t>
  </si>
  <si>
    <t>$1.531.537.600</t>
  </si>
  <si>
    <t>$382.884.400</t>
  </si>
  <si>
    <t>$2.040.573.600</t>
  </si>
  <si>
    <t>$2.010.143.000</t>
  </si>
  <si>
    <t>$1.608.114.400</t>
  </si>
  <si>
    <t>$402.028.600</t>
  </si>
  <si>
    <t>$2.442.602.200</t>
  </si>
  <si>
    <t>$2.110.650.000</t>
  </si>
  <si>
    <t>$1.688.520.000</t>
  </si>
  <si>
    <t>$422.130.000</t>
  </si>
  <si>
    <t>$2.864.732.200</t>
  </si>
  <si>
    <t>$2.216.183.000</t>
  </si>
  <si>
    <t>$1.772.946.400</t>
  </si>
  <si>
    <t>$443.236.600</t>
  </si>
  <si>
    <t>$3.307.968.800</t>
  </si>
  <si>
    <t>$2.326.992.000</t>
  </si>
  <si>
    <t>$1.861.593.600</t>
  </si>
  <si>
    <t>$465.398.400</t>
  </si>
  <si>
    <t>$3.773.367.200</t>
  </si>
  <si>
    <t>$2.443.341.000</t>
  </si>
  <si>
    <t>$1.954.672.800</t>
  </si>
  <si>
    <t>$488.668.200</t>
  </si>
  <si>
    <t>$4.262.035.400</t>
  </si>
  <si>
    <t>$2.565.509.000</t>
  </si>
  <si>
    <t>$2.052.407.200</t>
  </si>
  <si>
    <t>$513.101.800</t>
  </si>
  <si>
    <t>$4.775.137.200</t>
  </si>
  <si>
    <t>Total anual</t>
  </si>
  <si>
    <t>$23.875.686.000</t>
  </si>
  <si>
    <t>$19.100.548.800</t>
  </si>
  <si>
    <t>Flujo de caja con software</t>
  </si>
  <si>
    <t>$1.189.200.000</t>
  </si>
  <si>
    <t>$303.000.000</t>
  </si>
  <si>
    <t>$1.248.660.000</t>
  </si>
  <si>
    <t>$318.000.000</t>
  </si>
  <si>
    <t>$621.000.000</t>
  </si>
  <si>
    <t>$1.311.093.000</t>
  </si>
  <si>
    <t>$333.750.000</t>
  </si>
  <si>
    <t>$954.750.000</t>
  </si>
  <si>
    <t>$1.376.647.254</t>
  </si>
  <si>
    <t>$350.287.400</t>
  </si>
  <si>
    <t>$1.305.037.400</t>
  </si>
  <si>
    <t>$1.445.479.735</t>
  </si>
  <si>
    <t>$367.651.800</t>
  </si>
  <si>
    <t>$1.672.689.200</t>
  </si>
  <si>
    <t>$1.517.753.762</t>
  </si>
  <si>
    <t>$385.884.400</t>
  </si>
  <si>
    <t>$2.058.573.600</t>
  </si>
  <si>
    <t>$1.593.641.370</t>
  </si>
  <si>
    <t>$405.028.600</t>
  </si>
  <si>
    <t>$2.463.602.200</t>
  </si>
  <si>
    <t>$1.673.323.320</t>
  </si>
  <si>
    <t>$425.130.000</t>
  </si>
  <si>
    <t>$2.888.732.200</t>
  </si>
  <si>
    <t>$1.756.989.882</t>
  </si>
  <si>
    <t>$446.236.600</t>
  </si>
  <si>
    <t>$3.334.968.800</t>
  </si>
  <si>
    <t>$1.844.839.258</t>
  </si>
  <si>
    <t>$468.398.400</t>
  </si>
  <si>
    <t>$3.803.367.200</t>
  </si>
  <si>
    <t>$1.937.080.745</t>
  </si>
  <si>
    <t>$491.668.200</t>
  </si>
  <si>
    <t>$4.295.035.400</t>
  </si>
  <si>
    <t>$2.033.935.535</t>
  </si>
  <si>
    <t>$516.101.800</t>
  </si>
  <si>
    <t>$4.811.137.200</t>
  </si>
  <si>
    <t>$18.928.643.861</t>
  </si>
  <si>
    <t>VAN (CLP, 15% a/a)</t>
  </si>
  <si>
    <t>TIR mensual</t>
  </si>
  <si>
    <t>TIR anual</t>
  </si>
  <si>
    <t>Payback (meses)</t>
  </si>
  <si>
    <t>Flujo Neto Anual</t>
  </si>
  <si>
    <t>$3.722.570</t>
  </si>
  <si>
    <t>$12.000.000</t>
  </si>
  <si>
    <t>$20.534.697</t>
  </si>
  <si>
    <t>$30.000.000</t>
  </si>
  <si>
    <t>$37.346.824</t>
  </si>
  <si>
    <t>&gt;10000%</t>
  </si>
  <si>
    <t>$48.000.000</t>
  </si>
  <si>
    <t>Año sin SW -&gt; 5%</t>
  </si>
  <si>
    <t>Año 1</t>
  </si>
  <si>
    <t>Año 2</t>
  </si>
  <si>
    <t>Año 3</t>
  </si>
  <si>
    <t>Año 4</t>
  </si>
  <si>
    <t>Año 5</t>
  </si>
  <si>
    <t>Año con SW -&gt; 5%</t>
  </si>
  <si>
    <t>Diferencia</t>
  </si>
  <si>
    <t>trabajadores</t>
  </si>
  <si>
    <t>horas al día</t>
  </si>
  <si>
    <t>Paga * hrs</t>
  </si>
  <si>
    <t>Total pago día</t>
  </si>
  <si>
    <t>Ahorro mensual</t>
  </si>
  <si>
    <t>Ahorro anual</t>
  </si>
  <si>
    <t>15% tiempo</t>
  </si>
  <si>
    <t>Costo mensual mantención software</t>
  </si>
  <si>
    <t>1er año mensual proyecto + costo software</t>
  </si>
  <si>
    <t>Costo anual desde el 2do año en adelante (Solo Software)</t>
  </si>
  <si>
    <t>Clientes Diarios Aprox</t>
  </si>
  <si>
    <t>Clientes se van por encontrar producto (1%)</t>
  </si>
  <si>
    <t>Beneficio Utilidad 1er Año</t>
  </si>
  <si>
    <t>Aumento de Utilidad</t>
  </si>
  <si>
    <t>$25.069.470.300</t>
  </si>
  <si>
    <t>$26.322.943.815</t>
  </si>
  <si>
    <t>$27.639.091.006</t>
  </si>
  <si>
    <t>$29.021.045.556</t>
  </si>
  <si>
    <t>$20.055.576.240</t>
  </si>
  <si>
    <t>$21.058.355.052</t>
  </si>
  <si>
    <t>$22.111.272.805</t>
  </si>
  <si>
    <t>$23.216.836.445</t>
  </si>
  <si>
    <t>$5.013.894.060</t>
  </si>
  <si>
    <t>$5.264.588.763</t>
  </si>
  <si>
    <t>$5.527.818.201</t>
  </si>
  <si>
    <t>$5.804.209.111</t>
  </si>
  <si>
    <t>$23.899.561.686</t>
  </si>
  <si>
    <t>$25.094.539.770</t>
  </si>
  <si>
    <t>$26.349.266.759</t>
  </si>
  <si>
    <t>$27.666.730.097</t>
  </si>
  <si>
    <t>$29.050.066.602</t>
  </si>
  <si>
    <t>$19.099.872.695</t>
  </si>
  <si>
    <t>$20.054.866.330</t>
  </si>
  <si>
    <t>$21.057,609,646</t>
  </si>
  <si>
    <t>$22.110.490.129</t>
  </si>
  <si>
    <t>$23.216.014.635</t>
  </si>
  <si>
    <t>$4.799.688.991</t>
  </si>
  <si>
    <t>$5.039.673.440</t>
  </si>
  <si>
    <t>$5.291.657.113</t>
  </si>
  <si>
    <t>$5.556.239.968</t>
  </si>
  <si>
    <t>$5.834.051.967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</si>
</sst>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"/>
    <numFmt numFmtId="165" formatCode="&quot;$&quot;#,##0;[Red]&quot;$&quot;\-#,##0"/>
    <numFmt numFmtId="166" formatCode="[$$]#,##0.00"/>
    <numFmt numFmtId="167" formatCode="[$$]#,##0"/>
    <numFmt numFmtId="168" formatCode="0.0%"/>
  </numFmts>
  <fonts count="16">
    <font>
      <sz val="11.0"/>
      <color theme="1"/>
      <name val="Calibri"/>
      <scheme val="minor"/>
    </font>
    <font>
      <color rgb="FF1B1C1D"/>
      <name val="&quot;Google Sans Text&quot;"/>
    </font>
    <font>
      <b/>
      <color rgb="FF1B1C1D"/>
      <name val="&quot;Google Sans Text&quot;"/>
    </font>
    <font>
      <sz val="11.0"/>
      <color theme="1"/>
      <name val="Calibri"/>
    </font>
    <font>
      <i/>
      <color rgb="FF1B1C1D"/>
      <name val="&quot;Google Sans Text&quot;"/>
    </font>
    <font>
      <b/>
      <sz val="11.0"/>
      <color theme="1"/>
      <name val="Calibri"/>
    </font>
    <font/>
    <font>
      <color theme="1"/>
      <name val="Calibri"/>
      <scheme val="minor"/>
    </font>
    <font>
      <sz val="11.0"/>
      <color rgb="FF1B1C1D"/>
      <name val="&quot;\0022Google Sans Text\0022&quot;"/>
    </font>
    <font>
      <sz val="11.0"/>
      <color rgb="FF1B1C1D"/>
      <name val="Arial"/>
    </font>
    <font>
      <sz val="11.0"/>
      <color rgb="FF000000"/>
      <name val="Calibri"/>
    </font>
    <font>
      <color rgb="FF1B1C1D"/>
      <name val="Calibri"/>
      <scheme val="minor"/>
    </font>
    <font>
      <b/>
      <color theme="1"/>
      <name val="Calibri"/>
      <scheme val="minor"/>
    </font>
    <font>
      <color rgb="FF1B1C1D"/>
      <name val="Calibri"/>
    </font>
    <font>
      <b/>
      <color rgb="FF1F1F1F"/>
      <name val="&quot;Google Sans Text&quot;"/>
    </font>
    <font>
      <color rgb="FF1F1F1F"/>
      <name val="&quot;Google Sans Text&quot;"/>
    </font>
  </fonts>
  <fills count="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1" fillId="0" fontId="1" numFmtId="165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0" fillId="0" fontId="3" numFmtId="165" xfId="0" applyFont="1" applyNumberFormat="1"/>
    <xf borderId="1" fillId="0" fontId="1" numFmtId="165" xfId="0" applyBorder="1" applyFont="1" applyNumberFormat="1"/>
    <xf borderId="1" fillId="0" fontId="2" numFmtId="164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1" numFmtId="0" xfId="0" applyBorder="1" applyFont="1"/>
    <xf borderId="2" fillId="0" fontId="5" numFmtId="165" xfId="0" applyAlignment="1" applyBorder="1" applyFont="1" applyNumberFormat="1">
      <alignment readingOrder="0"/>
    </xf>
    <xf borderId="3" fillId="0" fontId="6" numFmtId="0" xfId="0" applyBorder="1" applyFont="1"/>
    <xf borderId="4" fillId="0" fontId="6" numFmtId="0" xfId="0" applyBorder="1" applyFont="1"/>
    <xf borderId="0" fillId="0" fontId="5" numFmtId="165" xfId="0" applyAlignment="1" applyFont="1" applyNumberFormat="1">
      <alignment readingOrder="0"/>
    </xf>
    <xf borderId="0" fillId="0" fontId="7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0" fontId="7" numFmtId="0" xfId="0" applyBorder="1" applyFont="1"/>
    <xf borderId="0" fillId="0" fontId="2" numFmtId="0" xfId="0" applyAlignment="1" applyFont="1">
      <alignment readingOrder="0"/>
    </xf>
    <xf borderId="1" fillId="0" fontId="2" numFmtId="165" xfId="0" applyAlignment="1" applyBorder="1" applyFont="1" applyNumberFormat="1">
      <alignment readingOrder="0"/>
    </xf>
    <xf borderId="1" fillId="0" fontId="1" numFmtId="49" xfId="0" applyAlignment="1" applyBorder="1" applyFont="1" applyNumberFormat="1">
      <alignment readingOrder="0"/>
    </xf>
    <xf borderId="1" fillId="2" fontId="1" numFmtId="49" xfId="0" applyAlignment="1" applyBorder="1" applyFill="1" applyFont="1" applyNumberFormat="1">
      <alignment readingOrder="0"/>
    </xf>
    <xf borderId="0" fillId="0" fontId="1" numFmtId="0" xfId="0" applyFont="1"/>
    <xf borderId="1" fillId="0" fontId="7" numFmtId="49" xfId="0" applyBorder="1" applyFont="1" applyNumberFormat="1"/>
    <xf borderId="1" fillId="0" fontId="2" numFmtId="49" xfId="0" applyAlignment="1" applyBorder="1" applyFont="1" applyNumberFormat="1">
      <alignment readingOrder="0"/>
    </xf>
    <xf borderId="0" fillId="0" fontId="3" numFmtId="164" xfId="0" applyFont="1" applyNumberFormat="1"/>
    <xf borderId="1" fillId="0" fontId="1" numFmtId="10" xfId="0" applyAlignment="1" applyBorder="1" applyFont="1" applyNumberFormat="1">
      <alignment readingOrder="0"/>
    </xf>
    <xf borderId="0" fillId="0" fontId="7" numFmtId="9" xfId="0" applyAlignment="1" applyFont="1" applyNumberFormat="1">
      <alignment readingOrder="0"/>
    </xf>
    <xf borderId="1" fillId="0" fontId="8" numFmtId="166" xfId="0" applyAlignment="1" applyBorder="1" applyFont="1" applyNumberFormat="1">
      <alignment readingOrder="0" shrinkToFit="0" vertical="bottom" wrapText="0"/>
    </xf>
    <xf borderId="1" fillId="0" fontId="9" numFmtId="166" xfId="0" applyAlignment="1" applyBorder="1" applyFont="1" applyNumberFormat="1">
      <alignment readingOrder="0"/>
    </xf>
    <xf borderId="1" fillId="0" fontId="9" numFmtId="166" xfId="0" applyAlignment="1" applyBorder="1" applyFont="1" applyNumberFormat="1">
      <alignment horizontal="right" readingOrder="0"/>
    </xf>
    <xf borderId="0" fillId="0" fontId="10" numFmtId="166" xfId="0" applyAlignment="1" applyFont="1" applyNumberFormat="1">
      <alignment shrinkToFit="0" vertical="bottom" wrapText="0"/>
    </xf>
    <xf borderId="0" fillId="3" fontId="7" numFmtId="0" xfId="0" applyFill="1" applyFont="1"/>
    <xf borderId="0" fillId="3" fontId="7" numFmtId="0" xfId="0" applyAlignment="1" applyFont="1">
      <alignment readingOrder="0"/>
    </xf>
    <xf borderId="2" fillId="4" fontId="5" numFmtId="165" xfId="0" applyAlignment="1" applyBorder="1" applyFill="1" applyFont="1" applyNumberFormat="1">
      <alignment readingOrder="0"/>
    </xf>
    <xf borderId="1" fillId="4" fontId="1" numFmtId="165" xfId="0" applyAlignment="1" applyBorder="1" applyFont="1" applyNumberFormat="1">
      <alignment readingOrder="0"/>
    </xf>
    <xf borderId="1" fillId="4" fontId="7" numFmtId="0" xfId="0" applyAlignment="1" applyBorder="1" applyFont="1">
      <alignment readingOrder="0"/>
    </xf>
    <xf borderId="0" fillId="5" fontId="11" numFmtId="0" xfId="0" applyAlignment="1" applyFill="1" applyFont="1">
      <alignment readingOrder="0"/>
    </xf>
    <xf borderId="1" fillId="4" fontId="7" numFmtId="167" xfId="0" applyBorder="1" applyFont="1" applyNumberFormat="1"/>
    <xf borderId="0" fillId="5" fontId="7" numFmtId="167" xfId="0" applyFont="1" applyNumberFormat="1"/>
    <xf borderId="1" fillId="0" fontId="7" numFmtId="0" xfId="0" applyAlignment="1" applyBorder="1" applyFont="1">
      <alignment readingOrder="0"/>
    </xf>
    <xf borderId="1" fillId="0" fontId="7" numFmtId="167" xfId="0" applyBorder="1" applyFont="1" applyNumberFormat="1"/>
    <xf borderId="2" fillId="6" fontId="11" numFmtId="0" xfId="0" applyAlignment="1" applyBorder="1" applyFill="1" applyFont="1">
      <alignment readingOrder="0"/>
    </xf>
    <xf borderId="1" fillId="6" fontId="12" numFmtId="167" xfId="0" applyAlignment="1" applyBorder="1" applyFont="1" applyNumberFormat="1">
      <alignment readingOrder="0"/>
    </xf>
    <xf borderId="2" fillId="7" fontId="7" numFmtId="0" xfId="0" applyAlignment="1" applyBorder="1" applyFill="1" applyFont="1">
      <alignment readingOrder="0"/>
    </xf>
    <xf borderId="1" fillId="7" fontId="12" numFmtId="167" xfId="0" applyAlignment="1" applyBorder="1" applyFont="1" applyNumberFormat="1">
      <alignment readingOrder="0"/>
    </xf>
    <xf borderId="2" fillId="4" fontId="13" numFmtId="0" xfId="0" applyAlignment="1" applyBorder="1" applyFont="1">
      <alignment readingOrder="0"/>
    </xf>
    <xf borderId="2" fillId="7" fontId="7" numFmtId="0" xfId="0" applyAlignment="1" applyBorder="1" applyFont="1">
      <alignment horizontal="center" readingOrder="0"/>
    </xf>
    <xf borderId="1" fillId="4" fontId="7" numFmtId="0" xfId="0" applyBorder="1" applyFont="1"/>
    <xf borderId="1" fillId="4" fontId="1" numFmtId="0" xfId="0" applyAlignment="1" applyBorder="1" applyFont="1">
      <alignment readingOrder="0"/>
    </xf>
    <xf borderId="1" fillId="0" fontId="1" numFmtId="167" xfId="0" applyAlignment="1" applyBorder="1" applyFont="1" applyNumberFormat="1">
      <alignment readingOrder="0"/>
    </xf>
    <xf borderId="1" fillId="2" fontId="1" numFmtId="167" xfId="0" applyAlignment="1" applyBorder="1" applyFont="1" applyNumberFormat="1">
      <alignment readingOrder="0"/>
    </xf>
    <xf borderId="1" fillId="0" fontId="1" numFmtId="167" xfId="0" applyAlignment="1" applyBorder="1" applyFont="1" applyNumberFormat="1">
      <alignment readingOrder="0"/>
    </xf>
    <xf borderId="1" fillId="0" fontId="1" numFmtId="168" xfId="0" applyAlignment="1" applyBorder="1" applyFont="1" applyNumberFormat="1">
      <alignment readingOrder="0"/>
    </xf>
    <xf borderId="1" fillId="0" fontId="2" numFmtId="167" xfId="0" applyAlignment="1" applyBorder="1" applyFont="1" applyNumberForma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10" xfId="0" applyAlignment="1" applyBorder="1" applyFont="1" applyNumberFormat="1">
      <alignment horizontal="right" readingOrder="0"/>
    </xf>
    <xf borderId="1" fillId="0" fontId="14" numFmtId="166" xfId="0" applyAlignment="1" applyBorder="1" applyFont="1" applyNumberFormat="1">
      <alignment readingOrder="0"/>
    </xf>
    <xf borderId="1" fillId="0" fontId="15" numFmtId="167" xfId="0" applyAlignment="1" applyBorder="1" applyFont="1" applyNumberFormat="1">
      <alignment horizontal="right" readingOrder="0"/>
    </xf>
    <xf borderId="1" fillId="0" fontId="15" numFmtId="166" xfId="0" applyAlignment="1" applyBorder="1" applyFont="1" applyNumberFormat="1">
      <alignment horizontal="right" readingOrder="0"/>
    </xf>
    <xf borderId="1" fillId="0" fontId="14" numFmtId="167" xfId="0" applyAlignment="1" applyBorder="1" applyFont="1" applyNumberFormat="1">
      <alignment horizontal="right" readingOrder="0"/>
    </xf>
    <xf borderId="1" fillId="0" fontId="14" numFmtId="166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200025</xdr:colOff>
      <xdr:row>55</xdr:row>
      <xdr:rowOff>104775</xdr:rowOff>
    </xdr:from>
    <xdr:ext cx="5086350" cy="3067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104775</xdr:rowOff>
    </xdr:from>
    <xdr:ext cx="5086350" cy="30670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200025</xdr:colOff>
      <xdr:row>55</xdr:row>
      <xdr:rowOff>104775</xdr:rowOff>
    </xdr:from>
    <xdr:ext cx="5086350" cy="3067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104775</xdr:rowOff>
    </xdr:from>
    <xdr:ext cx="5086350" cy="30670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57"/>
    <col customWidth="1" min="3" max="3" width="17.43"/>
    <col customWidth="1" min="4" max="4" width="17.14"/>
    <col customWidth="1" min="5" max="5" width="31.29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1" t="s">
        <v>5</v>
      </c>
      <c r="B2" s="2"/>
      <c r="C2" s="2"/>
      <c r="D2" s="2"/>
      <c r="E2" s="3" t="s">
        <v>6</v>
      </c>
    </row>
    <row r="3" ht="14.25" customHeight="1">
      <c r="A3" s="1" t="s">
        <v>7</v>
      </c>
      <c r="B3" s="4" t="s">
        <v>8</v>
      </c>
      <c r="C3" s="4" t="s">
        <v>9</v>
      </c>
      <c r="D3" s="4" t="s">
        <v>10</v>
      </c>
      <c r="E3" s="3" t="s">
        <v>11</v>
      </c>
    </row>
    <row r="4" ht="14.25" customHeight="1">
      <c r="A4" s="1" t="s">
        <v>12</v>
      </c>
      <c r="B4" s="4" t="s">
        <v>8</v>
      </c>
      <c r="C4" s="4" t="s">
        <v>9</v>
      </c>
      <c r="D4" s="4" t="s">
        <v>10</v>
      </c>
      <c r="E4" s="3" t="s">
        <v>13</v>
      </c>
    </row>
    <row r="5" ht="14.25" customHeight="1">
      <c r="A5" s="1" t="s">
        <v>14</v>
      </c>
      <c r="B5" s="4" t="s">
        <v>8</v>
      </c>
      <c r="C5" s="4" t="s">
        <v>9</v>
      </c>
      <c r="D5" s="4" t="s">
        <v>10</v>
      </c>
      <c r="E5" s="3" t="s">
        <v>15</v>
      </c>
    </row>
    <row r="6" ht="14.25" customHeight="1">
      <c r="A6" s="1" t="s">
        <v>16</v>
      </c>
      <c r="B6" s="4" t="s">
        <v>8</v>
      </c>
      <c r="C6" s="4" t="s">
        <v>9</v>
      </c>
      <c r="D6" s="4" t="s">
        <v>10</v>
      </c>
      <c r="E6" s="3" t="s">
        <v>17</v>
      </c>
    </row>
    <row r="7" ht="14.25" customHeight="1">
      <c r="A7" s="1" t="s">
        <v>18</v>
      </c>
      <c r="B7" s="4" t="s">
        <v>8</v>
      </c>
      <c r="C7" s="4" t="s">
        <v>9</v>
      </c>
      <c r="D7" s="4" t="s">
        <v>10</v>
      </c>
      <c r="E7" s="3" t="s">
        <v>19</v>
      </c>
    </row>
    <row r="8" ht="14.25" customHeight="1">
      <c r="A8" s="1" t="s">
        <v>20</v>
      </c>
      <c r="B8" s="4" t="s">
        <v>8</v>
      </c>
      <c r="C8" s="4" t="s">
        <v>9</v>
      </c>
      <c r="D8" s="4" t="s">
        <v>10</v>
      </c>
      <c r="E8" s="3" t="s">
        <v>21</v>
      </c>
    </row>
    <row r="9" ht="14.25" customHeight="1">
      <c r="A9" s="1" t="s">
        <v>22</v>
      </c>
      <c r="B9" s="4" t="s">
        <v>8</v>
      </c>
      <c r="C9" s="4" t="s">
        <v>9</v>
      </c>
      <c r="D9" s="4" t="s">
        <v>10</v>
      </c>
      <c r="E9" s="3" t="s">
        <v>23</v>
      </c>
    </row>
    <row r="10" ht="14.25" customHeight="1">
      <c r="A10" s="1" t="s">
        <v>24</v>
      </c>
      <c r="B10" s="4" t="s">
        <v>8</v>
      </c>
      <c r="C10" s="4" t="s">
        <v>9</v>
      </c>
      <c r="D10" s="4" t="s">
        <v>10</v>
      </c>
      <c r="E10" s="3" t="s">
        <v>25</v>
      </c>
    </row>
    <row r="11" ht="14.25" customHeight="1">
      <c r="A11" s="1" t="s">
        <v>26</v>
      </c>
      <c r="B11" s="4" t="s">
        <v>8</v>
      </c>
      <c r="C11" s="4" t="s">
        <v>9</v>
      </c>
      <c r="D11" s="4" t="s">
        <v>10</v>
      </c>
      <c r="E11" s="3" t="s">
        <v>27</v>
      </c>
    </row>
    <row r="12" ht="14.25" customHeight="1">
      <c r="A12" s="1" t="s">
        <v>28</v>
      </c>
      <c r="B12" s="4" t="s">
        <v>8</v>
      </c>
      <c r="C12" s="4" t="s">
        <v>9</v>
      </c>
      <c r="D12" s="4" t="s">
        <v>10</v>
      </c>
      <c r="E12" s="3" t="s">
        <v>29</v>
      </c>
    </row>
    <row r="13" ht="14.25" customHeight="1">
      <c r="A13" s="1" t="s">
        <v>30</v>
      </c>
      <c r="B13" s="4" t="s">
        <v>8</v>
      </c>
      <c r="C13" s="4" t="s">
        <v>9</v>
      </c>
      <c r="D13" s="4" t="s">
        <v>10</v>
      </c>
      <c r="E13" s="4" t="s">
        <v>31</v>
      </c>
    </row>
    <row r="14" ht="14.25" customHeight="1">
      <c r="A14" s="1" t="s">
        <v>32</v>
      </c>
      <c r="B14" s="4" t="s">
        <v>8</v>
      </c>
      <c r="C14" s="4" t="s">
        <v>9</v>
      </c>
      <c r="D14" s="4" t="s">
        <v>10</v>
      </c>
      <c r="E14" s="4" t="s">
        <v>33</v>
      </c>
    </row>
    <row r="15" ht="14.25" customHeight="1">
      <c r="A15" s="5" t="s">
        <v>34</v>
      </c>
      <c r="B15" s="5" t="s">
        <v>35</v>
      </c>
      <c r="C15" s="5" t="s">
        <v>36</v>
      </c>
      <c r="D15" s="5" t="s">
        <v>37</v>
      </c>
      <c r="E15" s="5" t="s">
        <v>33</v>
      </c>
    </row>
    <row r="16" ht="14.25" customHeight="1">
      <c r="D16" s="6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8.14"/>
    <col customWidth="1" min="3" max="3" width="16.71"/>
    <col customWidth="1" min="4" max="4" width="16.14"/>
    <col customWidth="1" min="5" max="5" width="31.29"/>
    <col customWidth="1" min="6" max="26" width="8.71"/>
  </cols>
  <sheetData>
    <row r="1" ht="14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14.25" customHeight="1">
      <c r="A2" s="3" t="s">
        <v>5</v>
      </c>
      <c r="B2" s="7"/>
      <c r="C2" s="7"/>
      <c r="D2" s="7"/>
      <c r="E2" s="3" t="s">
        <v>6</v>
      </c>
    </row>
    <row r="3" ht="14.25" customHeight="1">
      <c r="A3" s="3" t="s">
        <v>7</v>
      </c>
      <c r="B3" s="3" t="s">
        <v>38</v>
      </c>
      <c r="C3" s="3" t="s">
        <v>9</v>
      </c>
      <c r="D3" s="3" t="s">
        <v>39</v>
      </c>
      <c r="E3" s="3" t="s">
        <v>40</v>
      </c>
    </row>
    <row r="4" ht="14.25" customHeight="1">
      <c r="A4" s="3" t="s">
        <v>12</v>
      </c>
      <c r="B4" s="3" t="s">
        <v>38</v>
      </c>
      <c r="C4" s="3" t="s">
        <v>9</v>
      </c>
      <c r="D4" s="3" t="s">
        <v>39</v>
      </c>
      <c r="E4" s="3" t="s">
        <v>19</v>
      </c>
    </row>
    <row r="5" ht="14.25" customHeight="1">
      <c r="A5" s="3" t="s">
        <v>14</v>
      </c>
      <c r="B5" s="3" t="s">
        <v>38</v>
      </c>
      <c r="C5" s="3" t="s">
        <v>9</v>
      </c>
      <c r="D5" s="3" t="s">
        <v>39</v>
      </c>
      <c r="E5" s="3" t="s">
        <v>41</v>
      </c>
    </row>
    <row r="6" ht="14.25" customHeight="1">
      <c r="A6" s="3" t="s">
        <v>16</v>
      </c>
      <c r="B6" s="3" t="s">
        <v>38</v>
      </c>
      <c r="C6" s="3" t="s">
        <v>9</v>
      </c>
      <c r="D6" s="3" t="s">
        <v>39</v>
      </c>
      <c r="E6" s="3" t="s">
        <v>29</v>
      </c>
    </row>
    <row r="7" ht="14.25" customHeight="1">
      <c r="A7" s="3" t="s">
        <v>18</v>
      </c>
      <c r="B7" s="3" t="s">
        <v>38</v>
      </c>
      <c r="C7" s="3" t="s">
        <v>9</v>
      </c>
      <c r="D7" s="3" t="s">
        <v>39</v>
      </c>
      <c r="E7" s="3" t="s">
        <v>42</v>
      </c>
    </row>
    <row r="8" ht="14.25" customHeight="1">
      <c r="A8" s="3" t="s">
        <v>20</v>
      </c>
      <c r="B8" s="3" t="s">
        <v>38</v>
      </c>
      <c r="C8" s="3" t="s">
        <v>9</v>
      </c>
      <c r="D8" s="3" t="s">
        <v>39</v>
      </c>
      <c r="E8" s="3" t="s">
        <v>43</v>
      </c>
    </row>
    <row r="9" ht="14.25" customHeight="1">
      <c r="A9" s="3" t="s">
        <v>22</v>
      </c>
      <c r="B9" s="3" t="s">
        <v>38</v>
      </c>
      <c r="C9" s="3" t="s">
        <v>9</v>
      </c>
      <c r="D9" s="3" t="s">
        <v>39</v>
      </c>
      <c r="E9" s="3" t="s">
        <v>44</v>
      </c>
    </row>
    <row r="10" ht="14.25" customHeight="1">
      <c r="A10" s="3" t="s">
        <v>24</v>
      </c>
      <c r="B10" s="3" t="s">
        <v>38</v>
      </c>
      <c r="C10" s="3" t="s">
        <v>9</v>
      </c>
      <c r="D10" s="3" t="s">
        <v>39</v>
      </c>
      <c r="E10" s="3" t="s">
        <v>45</v>
      </c>
    </row>
    <row r="11" ht="14.25" customHeight="1">
      <c r="A11" s="3" t="s">
        <v>26</v>
      </c>
      <c r="B11" s="3" t="s">
        <v>38</v>
      </c>
      <c r="C11" s="3" t="s">
        <v>9</v>
      </c>
      <c r="D11" s="3" t="s">
        <v>39</v>
      </c>
      <c r="E11" s="3" t="s">
        <v>46</v>
      </c>
    </row>
    <row r="12" ht="14.25" customHeight="1">
      <c r="A12" s="3" t="s">
        <v>28</v>
      </c>
      <c r="B12" s="3" t="s">
        <v>38</v>
      </c>
      <c r="C12" s="3" t="s">
        <v>9</v>
      </c>
      <c r="D12" s="3" t="s">
        <v>39</v>
      </c>
      <c r="E12" s="3" t="s">
        <v>47</v>
      </c>
    </row>
    <row r="13" ht="14.25" customHeight="1">
      <c r="A13" s="3" t="s">
        <v>30</v>
      </c>
      <c r="B13" s="3" t="s">
        <v>38</v>
      </c>
      <c r="C13" s="3" t="s">
        <v>9</v>
      </c>
      <c r="D13" s="3" t="s">
        <v>39</v>
      </c>
      <c r="E13" s="3" t="s">
        <v>48</v>
      </c>
    </row>
    <row r="14" ht="14.25" customHeight="1">
      <c r="A14" s="3" t="s">
        <v>32</v>
      </c>
      <c r="B14" s="3" t="s">
        <v>38</v>
      </c>
      <c r="C14" s="3" t="s">
        <v>9</v>
      </c>
      <c r="D14" s="3" t="s">
        <v>39</v>
      </c>
      <c r="E14" s="3" t="s">
        <v>49</v>
      </c>
    </row>
    <row r="15" ht="14.25" customHeight="1">
      <c r="A15" s="5" t="s">
        <v>34</v>
      </c>
      <c r="B15" s="5" t="s">
        <v>50</v>
      </c>
      <c r="C15" s="5" t="s">
        <v>36</v>
      </c>
      <c r="D15" s="5" t="s">
        <v>51</v>
      </c>
      <c r="E15" s="5" t="s">
        <v>49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71"/>
    <col customWidth="1" min="3" max="3" width="17.0"/>
    <col customWidth="1" min="4" max="4" width="15.57"/>
    <col customWidth="1" min="5" max="5" width="31.29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1" t="s">
        <v>5</v>
      </c>
      <c r="B2" s="2"/>
      <c r="C2" s="2"/>
      <c r="D2" s="2"/>
      <c r="E2" s="3" t="s">
        <v>6</v>
      </c>
    </row>
    <row r="3" ht="14.25" customHeight="1">
      <c r="A3" s="1" t="s">
        <v>7</v>
      </c>
      <c r="B3" s="4" t="s">
        <v>52</v>
      </c>
      <c r="C3" s="4" t="s">
        <v>9</v>
      </c>
      <c r="D3" s="4" t="s">
        <v>53</v>
      </c>
      <c r="E3" s="3" t="s">
        <v>17</v>
      </c>
    </row>
    <row r="4" ht="14.25" customHeight="1">
      <c r="A4" s="1" t="s">
        <v>12</v>
      </c>
      <c r="B4" s="4" t="s">
        <v>52</v>
      </c>
      <c r="C4" s="4" t="s">
        <v>9</v>
      </c>
      <c r="D4" s="4" t="s">
        <v>53</v>
      </c>
      <c r="E4" s="3" t="s">
        <v>25</v>
      </c>
    </row>
    <row r="5" ht="14.25" customHeight="1">
      <c r="A5" s="1" t="s">
        <v>14</v>
      </c>
      <c r="B5" s="4" t="s">
        <v>52</v>
      </c>
      <c r="C5" s="4" t="s">
        <v>9</v>
      </c>
      <c r="D5" s="4" t="s">
        <v>53</v>
      </c>
      <c r="E5" s="3" t="s">
        <v>33</v>
      </c>
    </row>
    <row r="6" ht="14.25" customHeight="1">
      <c r="A6" s="1" t="s">
        <v>16</v>
      </c>
      <c r="B6" s="4" t="s">
        <v>52</v>
      </c>
      <c r="C6" s="4" t="s">
        <v>9</v>
      </c>
      <c r="D6" s="4" t="s">
        <v>53</v>
      </c>
      <c r="E6" s="4" t="s">
        <v>54</v>
      </c>
    </row>
    <row r="7" ht="14.25" customHeight="1">
      <c r="A7" s="1" t="s">
        <v>18</v>
      </c>
      <c r="B7" s="4" t="s">
        <v>52</v>
      </c>
      <c r="C7" s="4" t="s">
        <v>9</v>
      </c>
      <c r="D7" s="4" t="s">
        <v>53</v>
      </c>
      <c r="E7" s="4" t="s">
        <v>45</v>
      </c>
    </row>
    <row r="8" ht="14.25" customHeight="1">
      <c r="A8" s="1" t="s">
        <v>20</v>
      </c>
      <c r="B8" s="4" t="s">
        <v>52</v>
      </c>
      <c r="C8" s="4" t="s">
        <v>9</v>
      </c>
      <c r="D8" s="4" t="s">
        <v>53</v>
      </c>
      <c r="E8" s="4" t="s">
        <v>55</v>
      </c>
    </row>
    <row r="9" ht="14.25" customHeight="1">
      <c r="A9" s="1" t="s">
        <v>22</v>
      </c>
      <c r="B9" s="4" t="s">
        <v>52</v>
      </c>
      <c r="C9" s="4" t="s">
        <v>9</v>
      </c>
      <c r="D9" s="4" t="s">
        <v>53</v>
      </c>
      <c r="E9" s="4" t="s">
        <v>56</v>
      </c>
    </row>
    <row r="10" ht="14.25" customHeight="1">
      <c r="A10" s="1" t="s">
        <v>24</v>
      </c>
      <c r="B10" s="4" t="s">
        <v>52</v>
      </c>
      <c r="C10" s="4" t="s">
        <v>9</v>
      </c>
      <c r="D10" s="4" t="s">
        <v>53</v>
      </c>
      <c r="E10" s="4" t="s">
        <v>57</v>
      </c>
    </row>
    <row r="11" ht="14.25" customHeight="1">
      <c r="A11" s="1" t="s">
        <v>26</v>
      </c>
      <c r="B11" s="4" t="s">
        <v>52</v>
      </c>
      <c r="C11" s="4" t="s">
        <v>9</v>
      </c>
      <c r="D11" s="4" t="s">
        <v>53</v>
      </c>
      <c r="E11" s="4" t="s">
        <v>58</v>
      </c>
    </row>
    <row r="12" ht="14.25" customHeight="1">
      <c r="A12" s="1" t="s">
        <v>28</v>
      </c>
      <c r="B12" s="4" t="s">
        <v>52</v>
      </c>
      <c r="C12" s="4" t="s">
        <v>9</v>
      </c>
      <c r="D12" s="4" t="s">
        <v>53</v>
      </c>
      <c r="E12" s="4" t="s">
        <v>59</v>
      </c>
    </row>
    <row r="13" ht="14.25" customHeight="1">
      <c r="A13" s="1" t="s">
        <v>30</v>
      </c>
      <c r="B13" s="4" t="s">
        <v>52</v>
      </c>
      <c r="C13" s="4" t="s">
        <v>9</v>
      </c>
      <c r="D13" s="4" t="s">
        <v>53</v>
      </c>
      <c r="E13" s="4" t="s">
        <v>60</v>
      </c>
    </row>
    <row r="14" ht="14.25" customHeight="1">
      <c r="A14" s="1" t="s">
        <v>32</v>
      </c>
      <c r="B14" s="4" t="s">
        <v>52</v>
      </c>
      <c r="C14" s="4" t="s">
        <v>9</v>
      </c>
      <c r="D14" s="4" t="s">
        <v>53</v>
      </c>
      <c r="E14" s="4" t="s">
        <v>61</v>
      </c>
    </row>
    <row r="15" ht="14.25" customHeight="1">
      <c r="A15" s="5" t="s">
        <v>34</v>
      </c>
      <c r="B15" s="5" t="s">
        <v>62</v>
      </c>
      <c r="C15" s="5" t="s">
        <v>36</v>
      </c>
      <c r="D15" s="5" t="s">
        <v>63</v>
      </c>
      <c r="E15" s="5" t="s">
        <v>61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2" width="11.86"/>
    <col customWidth="1" min="3" max="26" width="8.71"/>
  </cols>
  <sheetData>
    <row r="1" ht="14.25" customHeight="1">
      <c r="A1" s="4" t="s">
        <v>64</v>
      </c>
      <c r="B1" s="4" t="s">
        <v>65</v>
      </c>
    </row>
    <row r="2" ht="14.25" customHeight="1">
      <c r="A2" s="4" t="s">
        <v>66</v>
      </c>
      <c r="B2" s="4" t="s">
        <v>67</v>
      </c>
    </row>
    <row r="3" ht="14.25" customHeight="1">
      <c r="A3" s="4" t="s">
        <v>68</v>
      </c>
      <c r="B3" s="4" t="s">
        <v>69</v>
      </c>
    </row>
    <row r="4" ht="14.25" customHeight="1">
      <c r="A4" s="4" t="s">
        <v>70</v>
      </c>
      <c r="B4" s="4" t="s">
        <v>71</v>
      </c>
    </row>
    <row r="5" ht="14.25" customHeight="1">
      <c r="A5" s="8" t="s">
        <v>72</v>
      </c>
      <c r="B5" s="8" t="s">
        <v>73</v>
      </c>
    </row>
    <row r="6" ht="14.25" customHeight="1">
      <c r="A6" s="5" t="s">
        <v>74</v>
      </c>
      <c r="B6" s="5" t="s">
        <v>75</v>
      </c>
    </row>
    <row r="7" ht="14.25" customHeight="1">
      <c r="A7" s="9" t="s">
        <v>76</v>
      </c>
      <c r="B7" s="10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2.86"/>
    <col customWidth="1" min="3" max="3" width="27.29"/>
    <col customWidth="1" min="4" max="4" width="25.14"/>
    <col customWidth="1" min="5" max="26" width="8.71"/>
  </cols>
  <sheetData>
    <row r="1" ht="14.25" customHeight="1">
      <c r="A1" s="4" t="s">
        <v>77</v>
      </c>
      <c r="B1" s="4" t="s">
        <v>78</v>
      </c>
      <c r="C1" s="4" t="s">
        <v>79</v>
      </c>
      <c r="D1" s="4" t="s">
        <v>80</v>
      </c>
    </row>
    <row r="2" ht="14.25" customHeight="1">
      <c r="A2" s="4" t="s">
        <v>81</v>
      </c>
      <c r="B2" s="4" t="s">
        <v>35</v>
      </c>
      <c r="C2" s="4" t="s">
        <v>36</v>
      </c>
      <c r="D2" s="4" t="s">
        <v>37</v>
      </c>
    </row>
    <row r="3" ht="14.25" customHeight="1">
      <c r="A3" s="4" t="s">
        <v>82</v>
      </c>
      <c r="B3" s="4" t="s">
        <v>50</v>
      </c>
      <c r="C3" s="4" t="s">
        <v>36</v>
      </c>
      <c r="D3" s="4" t="s">
        <v>51</v>
      </c>
    </row>
    <row r="4" ht="14.25" customHeight="1">
      <c r="A4" s="4" t="s">
        <v>83</v>
      </c>
      <c r="B4" s="4" t="s">
        <v>62</v>
      </c>
      <c r="C4" s="4" t="s">
        <v>36</v>
      </c>
      <c r="D4" s="4" t="s">
        <v>63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9.43"/>
    <col customWidth="1" min="3" max="3" width="19.29"/>
    <col customWidth="1" min="4" max="4" width="17.43"/>
    <col customWidth="1" min="5" max="5" width="19.57"/>
    <col customWidth="1" min="6" max="6" width="16.57"/>
    <col customWidth="1" min="7" max="7" width="19.43"/>
    <col customWidth="1" min="8" max="8" width="23.29"/>
    <col customWidth="1" min="9" max="9" width="17.29"/>
    <col customWidth="1" min="10" max="10" width="17.71"/>
    <col customWidth="1" min="11" max="12" width="8.71"/>
    <col customWidth="1" min="13" max="13" width="9.57"/>
    <col customWidth="1" min="14" max="14" width="8.71"/>
    <col customWidth="1" min="15" max="15" width="9.57"/>
    <col customWidth="1" min="16" max="26" width="8.71"/>
  </cols>
  <sheetData>
    <row r="1" ht="14.25" customHeight="1">
      <c r="A1" s="11" t="s">
        <v>84</v>
      </c>
      <c r="B1" s="12"/>
      <c r="C1" s="12"/>
      <c r="D1" s="12"/>
      <c r="E1" s="13"/>
      <c r="F1" s="6"/>
      <c r="G1" s="14"/>
      <c r="H1" s="15"/>
      <c r="K1" s="15"/>
    </row>
    <row r="2" ht="14.25" customHeight="1">
      <c r="A2" s="3" t="s">
        <v>0</v>
      </c>
      <c r="B2" s="3" t="s">
        <v>85</v>
      </c>
      <c r="C2" s="3" t="s">
        <v>86</v>
      </c>
      <c r="D2" s="3" t="s">
        <v>87</v>
      </c>
      <c r="E2" s="3" t="s">
        <v>88</v>
      </c>
      <c r="F2" s="6"/>
      <c r="G2" s="16"/>
      <c r="H2" s="16"/>
      <c r="I2" s="16"/>
      <c r="J2" s="16"/>
    </row>
    <row r="3" ht="14.25" customHeight="1">
      <c r="A3" s="17"/>
      <c r="B3" s="17"/>
      <c r="C3" s="17"/>
      <c r="D3" s="17"/>
      <c r="E3" s="17"/>
      <c r="F3" s="6"/>
      <c r="G3" s="16"/>
      <c r="H3" s="16"/>
      <c r="I3" s="16"/>
      <c r="J3" s="16"/>
    </row>
    <row r="4" ht="14.25" customHeight="1">
      <c r="A4" s="3" t="s">
        <v>7</v>
      </c>
      <c r="B4" s="3" t="s">
        <v>89</v>
      </c>
      <c r="C4" s="3" t="s">
        <v>90</v>
      </c>
      <c r="D4" s="3" t="s">
        <v>91</v>
      </c>
      <c r="E4" s="3" t="s">
        <v>91</v>
      </c>
      <c r="G4" s="16"/>
      <c r="H4" s="16"/>
      <c r="I4" s="16"/>
      <c r="J4" s="16"/>
    </row>
    <row r="5" ht="14.25" customHeight="1">
      <c r="A5" s="3" t="s">
        <v>12</v>
      </c>
      <c r="B5" s="3" t="s">
        <v>92</v>
      </c>
      <c r="C5" s="3" t="s">
        <v>93</v>
      </c>
      <c r="D5" s="3" t="s">
        <v>94</v>
      </c>
      <c r="E5" s="3" t="s">
        <v>95</v>
      </c>
      <c r="F5" s="6"/>
      <c r="G5" s="16"/>
      <c r="H5" s="16"/>
      <c r="I5" s="16"/>
      <c r="J5" s="16"/>
    </row>
    <row r="6" ht="14.25" customHeight="1">
      <c r="A6" s="3" t="s">
        <v>14</v>
      </c>
      <c r="B6" s="3" t="s">
        <v>96</v>
      </c>
      <c r="C6" s="3" t="s">
        <v>97</v>
      </c>
      <c r="D6" s="4" t="s">
        <v>98</v>
      </c>
      <c r="E6" s="3" t="s">
        <v>99</v>
      </c>
      <c r="F6" s="6"/>
      <c r="G6" s="16"/>
      <c r="H6" s="16"/>
      <c r="I6" s="16"/>
      <c r="J6" s="16"/>
    </row>
    <row r="7" ht="14.25" customHeight="1">
      <c r="A7" s="3" t="s">
        <v>16</v>
      </c>
      <c r="B7" s="3" t="s">
        <v>100</v>
      </c>
      <c r="C7" s="3" t="s">
        <v>101</v>
      </c>
      <c r="D7" s="4" t="s">
        <v>102</v>
      </c>
      <c r="E7" s="3" t="s">
        <v>103</v>
      </c>
      <c r="F7" s="6"/>
      <c r="G7" s="16"/>
      <c r="H7" s="16"/>
      <c r="I7" s="16"/>
      <c r="J7" s="16"/>
    </row>
    <row r="8" ht="14.25" customHeight="1">
      <c r="A8" s="3" t="s">
        <v>18</v>
      </c>
      <c r="B8" s="3" t="s">
        <v>104</v>
      </c>
      <c r="C8" s="3" t="s">
        <v>105</v>
      </c>
      <c r="D8" s="4" t="s">
        <v>106</v>
      </c>
      <c r="E8" s="3" t="s">
        <v>107</v>
      </c>
      <c r="F8" s="6"/>
      <c r="G8" s="16"/>
      <c r="H8" s="16"/>
      <c r="I8" s="16"/>
      <c r="J8" s="16"/>
    </row>
    <row r="9" ht="14.25" customHeight="1">
      <c r="A9" s="3" t="s">
        <v>20</v>
      </c>
      <c r="B9" s="3" t="s">
        <v>108</v>
      </c>
      <c r="C9" s="3" t="s">
        <v>109</v>
      </c>
      <c r="D9" s="4" t="s">
        <v>110</v>
      </c>
      <c r="E9" s="3" t="s">
        <v>111</v>
      </c>
      <c r="F9" s="6"/>
      <c r="G9" s="16"/>
      <c r="H9" s="16"/>
      <c r="I9" s="16"/>
      <c r="J9" s="16"/>
    </row>
    <row r="10" ht="14.25" customHeight="1">
      <c r="A10" s="3" t="s">
        <v>22</v>
      </c>
      <c r="B10" s="3" t="s">
        <v>112</v>
      </c>
      <c r="C10" s="3" t="s">
        <v>113</v>
      </c>
      <c r="D10" s="4" t="s">
        <v>114</v>
      </c>
      <c r="E10" s="3" t="s">
        <v>115</v>
      </c>
      <c r="F10" s="6"/>
      <c r="G10" s="16"/>
      <c r="H10" s="16"/>
      <c r="I10" s="16"/>
      <c r="J10" s="16"/>
    </row>
    <row r="11" ht="14.25" customHeight="1">
      <c r="A11" s="3" t="s">
        <v>24</v>
      </c>
      <c r="B11" s="3" t="s">
        <v>116</v>
      </c>
      <c r="C11" s="3" t="s">
        <v>117</v>
      </c>
      <c r="D11" s="4" t="s">
        <v>118</v>
      </c>
      <c r="E11" s="3" t="s">
        <v>119</v>
      </c>
      <c r="F11" s="6"/>
      <c r="G11" s="16"/>
      <c r="H11" s="16"/>
      <c r="I11" s="16"/>
      <c r="J11" s="16"/>
    </row>
    <row r="12" ht="14.25" customHeight="1">
      <c r="A12" s="3" t="s">
        <v>26</v>
      </c>
      <c r="B12" s="3" t="s">
        <v>120</v>
      </c>
      <c r="C12" s="3" t="s">
        <v>121</v>
      </c>
      <c r="D12" s="4" t="s">
        <v>122</v>
      </c>
      <c r="E12" s="3" t="s">
        <v>123</v>
      </c>
      <c r="F12" s="6"/>
      <c r="G12" s="16"/>
      <c r="H12" s="16"/>
      <c r="I12" s="16"/>
      <c r="J12" s="16"/>
    </row>
    <row r="13" ht="14.25" customHeight="1">
      <c r="A13" s="3" t="s">
        <v>28</v>
      </c>
      <c r="B13" s="3" t="s">
        <v>124</v>
      </c>
      <c r="C13" s="3" t="s">
        <v>125</v>
      </c>
      <c r="D13" s="4" t="s">
        <v>126</v>
      </c>
      <c r="E13" s="3" t="s">
        <v>127</v>
      </c>
      <c r="F13" s="6"/>
      <c r="G13" s="16"/>
      <c r="H13" s="16"/>
      <c r="I13" s="16"/>
      <c r="J13" s="16"/>
    </row>
    <row r="14" ht="14.25" customHeight="1">
      <c r="A14" s="3" t="s">
        <v>30</v>
      </c>
      <c r="B14" s="3" t="s">
        <v>128</v>
      </c>
      <c r="C14" s="3" t="s">
        <v>129</v>
      </c>
      <c r="D14" s="4" t="s">
        <v>130</v>
      </c>
      <c r="E14" s="3" t="s">
        <v>131</v>
      </c>
      <c r="F14" s="6"/>
      <c r="G14" s="16"/>
      <c r="H14" s="16"/>
      <c r="I14" s="16"/>
      <c r="J14" s="16"/>
    </row>
    <row r="15" ht="14.25" customHeight="1">
      <c r="A15" s="3" t="s">
        <v>32</v>
      </c>
      <c r="B15" s="3" t="s">
        <v>132</v>
      </c>
      <c r="C15" s="3" t="s">
        <v>133</v>
      </c>
      <c r="D15" s="4" t="s">
        <v>134</v>
      </c>
      <c r="E15" s="3" t="s">
        <v>135</v>
      </c>
      <c r="F15" s="6"/>
      <c r="G15" s="18"/>
      <c r="H15" s="18"/>
      <c r="I15" s="18"/>
      <c r="J15" s="18"/>
    </row>
    <row r="16" ht="14.25" customHeight="1">
      <c r="A16" s="17"/>
      <c r="B16" s="17"/>
      <c r="C16" s="17"/>
      <c r="D16" s="17"/>
      <c r="E16" s="17"/>
      <c r="F16" s="6"/>
    </row>
    <row r="17" ht="14.25" customHeight="1">
      <c r="A17" s="19" t="s">
        <v>136</v>
      </c>
      <c r="B17" s="19" t="s">
        <v>137</v>
      </c>
      <c r="C17" s="19" t="s">
        <v>138</v>
      </c>
      <c r="D17" s="8" t="s">
        <v>135</v>
      </c>
      <c r="E17" s="19" t="s">
        <v>135</v>
      </c>
      <c r="F17" s="6"/>
    </row>
    <row r="18" ht="14.25" customHeight="1">
      <c r="A18" s="17"/>
      <c r="B18" s="17"/>
      <c r="C18" s="17"/>
      <c r="D18" s="17"/>
      <c r="E18" s="17"/>
      <c r="G18" s="14"/>
      <c r="H18" s="15"/>
      <c r="K18" s="15"/>
    </row>
    <row r="19" ht="14.25" customHeight="1">
      <c r="G19" s="16"/>
      <c r="H19" s="16"/>
      <c r="I19" s="16"/>
      <c r="J19" s="16"/>
    </row>
    <row r="20" ht="14.25" customHeight="1">
      <c r="A20" s="11" t="s">
        <v>139</v>
      </c>
      <c r="B20" s="12"/>
      <c r="C20" s="12"/>
      <c r="D20" s="12"/>
      <c r="E20" s="13"/>
      <c r="G20" s="16"/>
      <c r="H20" s="16"/>
      <c r="I20" s="16"/>
      <c r="J20" s="16"/>
    </row>
    <row r="21" ht="14.25" customHeight="1">
      <c r="A21" s="3" t="s">
        <v>0</v>
      </c>
      <c r="B21" s="1" t="s">
        <v>85</v>
      </c>
      <c r="C21" s="3" t="s">
        <v>86</v>
      </c>
      <c r="D21" s="3" t="s">
        <v>87</v>
      </c>
      <c r="E21" s="3" t="s">
        <v>88</v>
      </c>
      <c r="F21" s="16"/>
      <c r="G21" s="16"/>
      <c r="H21" s="16"/>
      <c r="I21" s="16"/>
      <c r="J21" s="16"/>
    </row>
    <row r="22" ht="14.25" customHeight="1">
      <c r="A22" s="17"/>
      <c r="B22" s="17"/>
      <c r="C22" s="17"/>
      <c r="D22" s="17"/>
      <c r="E22" s="17"/>
      <c r="F22" s="16"/>
      <c r="G22" s="16"/>
      <c r="H22" s="16"/>
      <c r="I22" s="16"/>
      <c r="J22" s="16"/>
    </row>
    <row r="23" ht="14.25" customHeight="1">
      <c r="A23" s="3" t="s">
        <v>7</v>
      </c>
      <c r="B23" s="20" t="s">
        <v>89</v>
      </c>
      <c r="C23" s="21" t="s">
        <v>140</v>
      </c>
      <c r="D23" s="20" t="s">
        <v>141</v>
      </c>
      <c r="E23" s="20" t="s">
        <v>141</v>
      </c>
      <c r="F23" s="18"/>
      <c r="G23" s="16"/>
      <c r="H23" s="16"/>
      <c r="I23" s="16"/>
      <c r="J23" s="16"/>
    </row>
    <row r="24" ht="14.25" customHeight="1">
      <c r="A24" s="3" t="s">
        <v>12</v>
      </c>
      <c r="B24" s="20" t="s">
        <v>92</v>
      </c>
      <c r="C24" s="21" t="s">
        <v>142</v>
      </c>
      <c r="D24" s="20" t="s">
        <v>143</v>
      </c>
      <c r="E24" s="20" t="s">
        <v>144</v>
      </c>
      <c r="F24" s="22"/>
      <c r="G24" s="16"/>
      <c r="H24" s="16"/>
      <c r="I24" s="16"/>
      <c r="J24" s="16"/>
    </row>
    <row r="25" ht="14.25" customHeight="1">
      <c r="A25" s="3" t="s">
        <v>14</v>
      </c>
      <c r="B25" s="20" t="s">
        <v>96</v>
      </c>
      <c r="C25" s="21" t="s">
        <v>145</v>
      </c>
      <c r="D25" s="20" t="s">
        <v>146</v>
      </c>
      <c r="E25" s="20" t="s">
        <v>147</v>
      </c>
      <c r="F25" s="18"/>
      <c r="G25" s="16"/>
      <c r="H25" s="16"/>
      <c r="I25" s="16"/>
      <c r="J25" s="16"/>
    </row>
    <row r="26" ht="14.25" customHeight="1">
      <c r="A26" s="3" t="s">
        <v>16</v>
      </c>
      <c r="B26" s="20" t="s">
        <v>100</v>
      </c>
      <c r="C26" s="21" t="s">
        <v>148</v>
      </c>
      <c r="D26" s="20" t="s">
        <v>149</v>
      </c>
      <c r="E26" s="20" t="s">
        <v>150</v>
      </c>
      <c r="F26" s="18"/>
      <c r="G26" s="16"/>
      <c r="H26" s="16"/>
      <c r="I26" s="16"/>
      <c r="J26" s="16"/>
    </row>
    <row r="27" ht="14.25" customHeight="1">
      <c r="A27" s="3" t="s">
        <v>18</v>
      </c>
      <c r="B27" s="20" t="s">
        <v>104</v>
      </c>
      <c r="C27" s="21" t="s">
        <v>151</v>
      </c>
      <c r="D27" s="20" t="s">
        <v>152</v>
      </c>
      <c r="E27" s="20" t="s">
        <v>153</v>
      </c>
      <c r="F27" s="18"/>
      <c r="G27" s="16"/>
      <c r="H27" s="16"/>
      <c r="I27" s="16"/>
      <c r="J27" s="16"/>
    </row>
    <row r="28" ht="14.25" customHeight="1">
      <c r="A28" s="3" t="s">
        <v>20</v>
      </c>
      <c r="B28" s="20" t="s">
        <v>108</v>
      </c>
      <c r="C28" s="21" t="s">
        <v>154</v>
      </c>
      <c r="D28" s="20" t="s">
        <v>155</v>
      </c>
      <c r="E28" s="20" t="s">
        <v>156</v>
      </c>
      <c r="F28" s="18"/>
      <c r="G28" s="16"/>
      <c r="H28" s="16"/>
      <c r="I28" s="16"/>
      <c r="J28" s="16"/>
    </row>
    <row r="29" ht="14.25" customHeight="1">
      <c r="A29" s="3" t="s">
        <v>22</v>
      </c>
      <c r="B29" s="20" t="s">
        <v>112</v>
      </c>
      <c r="C29" s="21" t="s">
        <v>157</v>
      </c>
      <c r="D29" s="20" t="s">
        <v>158</v>
      </c>
      <c r="E29" s="20" t="s">
        <v>159</v>
      </c>
      <c r="F29" s="22"/>
      <c r="G29" s="16"/>
      <c r="H29" s="16"/>
      <c r="I29" s="16"/>
      <c r="J29" s="16"/>
    </row>
    <row r="30" ht="14.25" customHeight="1">
      <c r="A30" s="3" t="s">
        <v>24</v>
      </c>
      <c r="B30" s="20" t="s">
        <v>116</v>
      </c>
      <c r="C30" s="21" t="s">
        <v>160</v>
      </c>
      <c r="D30" s="20" t="s">
        <v>161</v>
      </c>
      <c r="E30" s="20" t="s">
        <v>162</v>
      </c>
      <c r="F30" s="22"/>
      <c r="G30" s="16"/>
      <c r="H30" s="16"/>
      <c r="I30" s="16"/>
      <c r="J30" s="16"/>
    </row>
    <row r="31" ht="14.25" customHeight="1">
      <c r="A31" s="3" t="s">
        <v>26</v>
      </c>
      <c r="B31" s="20" t="s">
        <v>120</v>
      </c>
      <c r="C31" s="21" t="s">
        <v>163</v>
      </c>
      <c r="D31" s="20" t="s">
        <v>164</v>
      </c>
      <c r="E31" s="20" t="s">
        <v>165</v>
      </c>
      <c r="F31" s="22"/>
      <c r="G31" s="16"/>
      <c r="H31" s="16"/>
      <c r="I31" s="16"/>
      <c r="J31" s="16"/>
    </row>
    <row r="32" ht="14.25" customHeight="1">
      <c r="A32" s="3" t="s">
        <v>28</v>
      </c>
      <c r="B32" s="20" t="s">
        <v>124</v>
      </c>
      <c r="C32" s="21" t="s">
        <v>166</v>
      </c>
      <c r="D32" s="20" t="s">
        <v>167</v>
      </c>
      <c r="E32" s="20" t="s">
        <v>168</v>
      </c>
      <c r="F32" s="22"/>
      <c r="G32" s="18"/>
      <c r="H32" s="18"/>
      <c r="I32" s="18"/>
      <c r="J32" s="18"/>
    </row>
    <row r="33" ht="14.25" customHeight="1">
      <c r="A33" s="3" t="s">
        <v>30</v>
      </c>
      <c r="B33" s="20" t="s">
        <v>128</v>
      </c>
      <c r="C33" s="21" t="s">
        <v>169</v>
      </c>
      <c r="D33" s="20" t="s">
        <v>170</v>
      </c>
      <c r="E33" s="20" t="s">
        <v>171</v>
      </c>
      <c r="F33" s="22"/>
    </row>
    <row r="34" ht="14.25" customHeight="1">
      <c r="A34" s="3" t="s">
        <v>32</v>
      </c>
      <c r="B34" s="20" t="s">
        <v>132</v>
      </c>
      <c r="C34" s="21" t="s">
        <v>172</v>
      </c>
      <c r="D34" s="20" t="s">
        <v>173</v>
      </c>
      <c r="E34" s="20" t="s">
        <v>174</v>
      </c>
      <c r="F34" s="22"/>
    </row>
    <row r="35" ht="14.25" customHeight="1">
      <c r="A35" s="17"/>
      <c r="B35" s="23"/>
      <c r="C35" s="23"/>
      <c r="D35" s="23"/>
      <c r="E35" s="23"/>
      <c r="F35" s="22"/>
    </row>
    <row r="36" ht="14.25" customHeight="1">
      <c r="A36" s="19" t="s">
        <v>136</v>
      </c>
      <c r="B36" s="24" t="s">
        <v>137</v>
      </c>
      <c r="C36" s="24" t="s">
        <v>175</v>
      </c>
      <c r="D36" s="24" t="s">
        <v>174</v>
      </c>
      <c r="E36" s="24" t="s">
        <v>174</v>
      </c>
    </row>
    <row r="37" ht="14.25" customHeight="1">
      <c r="A37" s="14"/>
      <c r="B37" s="6"/>
      <c r="C37" s="6"/>
      <c r="D37" s="25"/>
    </row>
    <row r="38" ht="14.25" customHeight="1"/>
    <row r="39" ht="14.25" customHeight="1">
      <c r="A39" s="1" t="s">
        <v>77</v>
      </c>
      <c r="B39" s="1" t="s">
        <v>176</v>
      </c>
      <c r="C39" s="1" t="s">
        <v>177</v>
      </c>
      <c r="D39" s="1" t="s">
        <v>178</v>
      </c>
      <c r="E39" s="1" t="s">
        <v>179</v>
      </c>
      <c r="F39" s="1" t="s">
        <v>180</v>
      </c>
    </row>
    <row r="40" ht="14.25" customHeight="1">
      <c r="A40" s="1" t="s">
        <v>81</v>
      </c>
      <c r="B40" s="1" t="s">
        <v>181</v>
      </c>
      <c r="C40" s="26">
        <v>0.1075</v>
      </c>
      <c r="D40" s="26">
        <v>2.4</v>
      </c>
      <c r="E40" s="1">
        <v>8.0</v>
      </c>
      <c r="F40" s="1" t="s">
        <v>182</v>
      </c>
    </row>
    <row r="41" ht="14.25" customHeight="1">
      <c r="A41" s="1" t="s">
        <v>82</v>
      </c>
      <c r="B41" s="1" t="s">
        <v>183</v>
      </c>
      <c r="C41" s="26">
        <v>0.3253</v>
      </c>
      <c r="D41" s="26">
        <v>29.48</v>
      </c>
      <c r="E41" s="1">
        <v>3.0</v>
      </c>
      <c r="F41" s="1" t="s">
        <v>184</v>
      </c>
    </row>
    <row r="42" ht="14.25" customHeight="1">
      <c r="A42" s="1" t="s">
        <v>83</v>
      </c>
      <c r="B42" s="1" t="s">
        <v>185</v>
      </c>
      <c r="C42" s="26">
        <v>0.5305</v>
      </c>
      <c r="D42" s="1" t="s">
        <v>186</v>
      </c>
      <c r="E42" s="1">
        <v>2.0</v>
      </c>
      <c r="F42" s="1" t="s">
        <v>187</v>
      </c>
    </row>
    <row r="43" ht="14.25" customHeight="1"/>
    <row r="44" ht="14.25" customHeight="1">
      <c r="C44" s="27"/>
    </row>
    <row r="45" ht="14.25" customHeight="1">
      <c r="A45" s="28" t="s">
        <v>188</v>
      </c>
      <c r="B45" s="29" t="s">
        <v>189</v>
      </c>
      <c r="C45" s="29" t="s">
        <v>190</v>
      </c>
      <c r="D45" s="29" t="s">
        <v>191</v>
      </c>
      <c r="E45" s="29" t="s">
        <v>192</v>
      </c>
      <c r="F45" s="29" t="s">
        <v>193</v>
      </c>
    </row>
    <row r="46" ht="14.25" customHeight="1">
      <c r="A46" s="29" t="s">
        <v>85</v>
      </c>
      <c r="B46" s="30">
        <v>2.38757E10</v>
      </c>
      <c r="C46" s="30">
        <v>2.50695E10</v>
      </c>
      <c r="D46" s="30">
        <v>2.6323E10</v>
      </c>
      <c r="E46" s="30">
        <v>2.76391E10</v>
      </c>
      <c r="F46" s="30">
        <v>2.90211E10</v>
      </c>
    </row>
    <row r="47" ht="14.25" customHeight="1">
      <c r="A47" s="29" t="s">
        <v>86</v>
      </c>
      <c r="B47" s="30">
        <v>1.91005E10</v>
      </c>
      <c r="C47" s="30">
        <v>2.00556E10</v>
      </c>
      <c r="D47" s="30">
        <v>2.10583E10</v>
      </c>
      <c r="E47" s="30">
        <v>2.21113E10</v>
      </c>
      <c r="F47" s="30">
        <v>2.32168E10</v>
      </c>
    </row>
    <row r="48" ht="14.25" customHeight="1">
      <c r="A48" s="29" t="s">
        <v>87</v>
      </c>
      <c r="B48" s="30">
        <v>4.7751E9</v>
      </c>
      <c r="C48" s="30">
        <v>5.0139E9</v>
      </c>
      <c r="D48" s="30">
        <v>5.2646E9</v>
      </c>
      <c r="E48" s="30">
        <v>5.5278E9</v>
      </c>
      <c r="F48" s="30">
        <v>5.8042E9</v>
      </c>
    </row>
    <row r="49" ht="14.25" customHeight="1">
      <c r="A49" s="31"/>
      <c r="B49" s="31"/>
      <c r="C49" s="31"/>
      <c r="D49" s="31"/>
      <c r="E49" s="31"/>
      <c r="F49" s="31"/>
    </row>
    <row r="50" ht="14.25" customHeight="1">
      <c r="A50" s="31"/>
      <c r="B50" s="31"/>
      <c r="C50" s="31"/>
      <c r="D50" s="31"/>
      <c r="E50" s="31"/>
      <c r="F50" s="31"/>
    </row>
    <row r="51" ht="14.25" customHeight="1">
      <c r="A51" s="28" t="s">
        <v>194</v>
      </c>
      <c r="B51" s="29" t="s">
        <v>189</v>
      </c>
      <c r="C51" s="29" t="s">
        <v>190</v>
      </c>
      <c r="D51" s="29" t="s">
        <v>191</v>
      </c>
      <c r="E51" s="29" t="s">
        <v>192</v>
      </c>
      <c r="F51" s="29" t="s">
        <v>193</v>
      </c>
    </row>
    <row r="52" ht="14.25" customHeight="1">
      <c r="A52" s="29" t="s">
        <v>85</v>
      </c>
      <c r="B52" s="30">
        <v>2.38757E10</v>
      </c>
      <c r="C52" s="30">
        <v>2.50695E10</v>
      </c>
      <c r="D52" s="30">
        <v>2.6323E10</v>
      </c>
      <c r="E52" s="30">
        <v>2.76391E10</v>
      </c>
      <c r="F52" s="30">
        <v>2.90211E10</v>
      </c>
    </row>
    <row r="53" ht="14.25" customHeight="1">
      <c r="A53" s="29" t="s">
        <v>86</v>
      </c>
      <c r="B53" s="30">
        <v>1.90645E10</v>
      </c>
      <c r="C53" s="30">
        <v>2.00196E10</v>
      </c>
      <c r="D53" s="30">
        <v>2.10223E10</v>
      </c>
      <c r="E53" s="30">
        <v>2.20753E10</v>
      </c>
      <c r="F53" s="30">
        <v>2.31808E10</v>
      </c>
    </row>
    <row r="54" ht="14.25" customHeight="1">
      <c r="A54" s="29" t="s">
        <v>87</v>
      </c>
      <c r="B54" s="30">
        <v>4.8111E9</v>
      </c>
      <c r="C54" s="30">
        <v>5.0499E9</v>
      </c>
      <c r="D54" s="30">
        <v>5.3006E9</v>
      </c>
      <c r="E54" s="30">
        <v>5.5638E9</v>
      </c>
      <c r="F54" s="30">
        <v>5.8402E9</v>
      </c>
    </row>
    <row r="55" ht="14.25" customHeight="1"/>
    <row r="56" ht="14.25" customHeight="1">
      <c r="A56" s="32"/>
      <c r="B56" s="32"/>
      <c r="C56" s="32"/>
      <c r="D56" s="32"/>
      <c r="E56" s="32"/>
      <c r="F56" s="32"/>
      <c r="G56" s="32"/>
    </row>
    <row r="57" ht="14.25" customHeight="1">
      <c r="A57" s="32"/>
      <c r="B57" s="33"/>
      <c r="C57" s="32"/>
      <c r="D57" s="32"/>
      <c r="E57" s="32"/>
      <c r="F57" s="32"/>
      <c r="G57" s="32"/>
    </row>
    <row r="58" ht="14.25" customHeight="1">
      <c r="A58" s="32"/>
      <c r="B58" s="32"/>
      <c r="C58" s="32"/>
      <c r="D58" s="32"/>
      <c r="E58" s="32"/>
      <c r="F58" s="32"/>
      <c r="G58" s="32"/>
    </row>
    <row r="59" ht="14.25" customHeight="1">
      <c r="A59" s="32"/>
      <c r="B59" s="32"/>
      <c r="C59" s="32"/>
      <c r="D59" s="32"/>
      <c r="E59" s="32"/>
      <c r="F59" s="32"/>
      <c r="G59" s="32"/>
    </row>
    <row r="60" ht="14.25" customHeight="1">
      <c r="A60" s="32"/>
      <c r="B60" s="32"/>
      <c r="C60" s="32"/>
      <c r="D60" s="32"/>
      <c r="E60" s="32"/>
      <c r="F60" s="32"/>
      <c r="G60" s="32"/>
    </row>
    <row r="61" ht="14.25" customHeight="1">
      <c r="A61" s="32"/>
      <c r="B61" s="33"/>
      <c r="C61" s="32"/>
      <c r="D61" s="32"/>
      <c r="E61" s="32"/>
      <c r="F61" s="32"/>
      <c r="G61" s="32"/>
    </row>
    <row r="62" ht="14.25" customHeight="1">
      <c r="A62" s="32"/>
      <c r="B62" s="32"/>
      <c r="C62" s="32"/>
      <c r="D62" s="32"/>
      <c r="E62" s="32"/>
      <c r="F62" s="32"/>
      <c r="G62" s="32"/>
    </row>
    <row r="63" ht="14.25" customHeight="1">
      <c r="A63" s="32"/>
      <c r="B63" s="32"/>
      <c r="C63" s="32"/>
      <c r="D63" s="32"/>
      <c r="E63" s="32"/>
      <c r="F63" s="32"/>
      <c r="G63" s="32"/>
    </row>
    <row r="64" ht="14.25" customHeight="1">
      <c r="A64" s="32"/>
      <c r="B64" s="32"/>
      <c r="C64" s="32"/>
      <c r="D64" s="32"/>
      <c r="E64" s="32"/>
      <c r="F64" s="32"/>
      <c r="G64" s="32"/>
    </row>
    <row r="65" ht="14.25" customHeight="1">
      <c r="A65" s="32"/>
      <c r="B65" s="32"/>
      <c r="C65" s="32"/>
      <c r="D65" s="32"/>
      <c r="E65" s="32"/>
      <c r="F65" s="32"/>
      <c r="G65" s="32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4">
    <mergeCell ref="A1:E1"/>
    <mergeCell ref="H1:J1"/>
    <mergeCell ref="H18:J18"/>
    <mergeCell ref="A20:E20"/>
  </mergeCells>
  <printOptions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9.43"/>
    <col customWidth="1" min="3" max="3" width="19.29"/>
    <col customWidth="1" min="4" max="4" width="19.71"/>
    <col customWidth="1" min="5" max="5" width="19.57"/>
    <col customWidth="1" min="6" max="6" width="19.71"/>
    <col customWidth="1" min="7" max="7" width="24.57"/>
    <col customWidth="1" min="8" max="8" width="23.29"/>
    <col customWidth="1" min="9" max="9" width="17.29"/>
    <col customWidth="1" min="10" max="10" width="17.71"/>
    <col customWidth="1" min="11" max="11" width="11.71"/>
    <col customWidth="1" min="12" max="12" width="14.71"/>
    <col customWidth="1" min="13" max="13" width="12.29"/>
    <col customWidth="1" min="14" max="14" width="14.71"/>
    <col customWidth="1" min="15" max="15" width="9.57"/>
    <col customWidth="1" min="16" max="26" width="8.71"/>
  </cols>
  <sheetData>
    <row r="1" ht="14.25" customHeight="1">
      <c r="A1" s="34" t="s">
        <v>84</v>
      </c>
      <c r="B1" s="12"/>
      <c r="C1" s="12"/>
      <c r="D1" s="12"/>
      <c r="E1" s="13"/>
      <c r="F1" s="6"/>
      <c r="G1" s="14"/>
      <c r="H1" s="15"/>
      <c r="K1" s="15"/>
    </row>
    <row r="2" ht="14.25" customHeight="1">
      <c r="A2" s="35" t="s">
        <v>0</v>
      </c>
      <c r="B2" s="35" t="s">
        <v>85</v>
      </c>
      <c r="C2" s="35" t="s">
        <v>86</v>
      </c>
      <c r="D2" s="35" t="s">
        <v>87</v>
      </c>
      <c r="E2" s="35" t="s">
        <v>88</v>
      </c>
      <c r="F2" s="6"/>
      <c r="G2" s="36" t="s">
        <v>195</v>
      </c>
      <c r="H2" s="37"/>
      <c r="I2" s="16"/>
      <c r="J2" s="16"/>
    </row>
    <row r="3" ht="14.25" customHeight="1">
      <c r="A3" s="17"/>
      <c r="B3" s="17"/>
      <c r="C3" s="17"/>
      <c r="D3" s="17"/>
      <c r="E3" s="17"/>
      <c r="F3" s="6"/>
      <c r="G3" s="38">
        <f>E36-E17</f>
        <v>140862726</v>
      </c>
      <c r="H3" s="39"/>
      <c r="I3" s="16"/>
      <c r="J3" s="16"/>
    </row>
    <row r="4" ht="14.25" customHeight="1">
      <c r="A4" s="3" t="s">
        <v>7</v>
      </c>
      <c r="B4" s="3">
        <v>1.5E9</v>
      </c>
      <c r="C4" s="3">
        <v>1.2E9</v>
      </c>
      <c r="D4" s="3">
        <f t="shared" ref="D4:D15" si="1">B4-C4</f>
        <v>300000000</v>
      </c>
      <c r="E4" s="3">
        <v>3.0E8</v>
      </c>
      <c r="G4" s="16"/>
      <c r="H4" s="16"/>
      <c r="I4" s="16"/>
      <c r="J4" s="16"/>
    </row>
    <row r="5" ht="14.25" customHeight="1">
      <c r="A5" s="3" t="s">
        <v>12</v>
      </c>
      <c r="B5" s="3">
        <v>1.575E9</v>
      </c>
      <c r="C5" s="3">
        <v>1.26E9</v>
      </c>
      <c r="D5" s="3">
        <f t="shared" si="1"/>
        <v>315000000</v>
      </c>
      <c r="E5" s="3">
        <f t="shared" ref="E5:E15" si="2">E4+D5</f>
        <v>615000000</v>
      </c>
      <c r="F5" s="6"/>
      <c r="G5" s="36" t="s">
        <v>196</v>
      </c>
      <c r="H5" s="36" t="s">
        <v>197</v>
      </c>
      <c r="I5" s="36" t="s">
        <v>198</v>
      </c>
      <c r="J5" s="36" t="s">
        <v>199</v>
      </c>
      <c r="K5" s="36">
        <v>30.0</v>
      </c>
      <c r="L5" s="36" t="s">
        <v>200</v>
      </c>
      <c r="M5" s="36" t="s">
        <v>201</v>
      </c>
    </row>
    <row r="6" ht="14.25" customHeight="1">
      <c r="A6" s="3" t="s">
        <v>14</v>
      </c>
      <c r="B6" s="3">
        <v>1.65375E9</v>
      </c>
      <c r="C6" s="3">
        <v>1.323E9</v>
      </c>
      <c r="D6" s="3">
        <f t="shared" si="1"/>
        <v>330750000</v>
      </c>
      <c r="E6" s="3">
        <f t="shared" si="2"/>
        <v>945750000</v>
      </c>
      <c r="F6" s="6"/>
      <c r="G6" s="40">
        <v>10.0</v>
      </c>
      <c r="H6" s="40">
        <v>8.0</v>
      </c>
      <c r="I6" s="40">
        <v>3000.0</v>
      </c>
      <c r="J6" s="17">
        <f>G6*(H6*I6)</f>
        <v>240000</v>
      </c>
      <c r="K6" s="41">
        <f>J6*30</f>
        <v>7200000</v>
      </c>
      <c r="L6" s="41">
        <f>K7-K6</f>
        <v>-1080000</v>
      </c>
      <c r="M6" s="41">
        <f>L6*12</f>
        <v>-12960000</v>
      </c>
    </row>
    <row r="7" ht="14.25" customHeight="1">
      <c r="A7" s="3" t="s">
        <v>16</v>
      </c>
      <c r="B7" s="3">
        <v>1.736437E9</v>
      </c>
      <c r="C7" s="3">
        <v>1.3891496E9</v>
      </c>
      <c r="D7" s="3">
        <f t="shared" si="1"/>
        <v>347287400</v>
      </c>
      <c r="E7" s="3">
        <f t="shared" si="2"/>
        <v>1293037400</v>
      </c>
      <c r="F7" s="6"/>
      <c r="J7" s="36" t="s">
        <v>202</v>
      </c>
      <c r="K7" s="38">
        <f>K6*0.85</f>
        <v>6120000</v>
      </c>
    </row>
    <row r="8" ht="14.25" customHeight="1">
      <c r="A8" s="3" t="s">
        <v>18</v>
      </c>
      <c r="B8" s="3">
        <v>1.823259E9</v>
      </c>
      <c r="C8" s="3">
        <v>1.4586072E9</v>
      </c>
      <c r="D8" s="3">
        <f t="shared" si="1"/>
        <v>364651800</v>
      </c>
      <c r="E8" s="3">
        <f t="shared" si="2"/>
        <v>1657689200</v>
      </c>
      <c r="F8" s="6"/>
    </row>
    <row r="9" ht="14.25" customHeight="1">
      <c r="A9" s="3" t="s">
        <v>20</v>
      </c>
      <c r="B9" s="3">
        <v>1.914422E9</v>
      </c>
      <c r="C9" s="3">
        <v>1.5315376E9</v>
      </c>
      <c r="D9" s="3">
        <f t="shared" si="1"/>
        <v>382884400</v>
      </c>
      <c r="E9" s="3">
        <f t="shared" si="2"/>
        <v>2040573600</v>
      </c>
      <c r="F9" s="6"/>
    </row>
    <row r="10" ht="14.25" customHeight="1">
      <c r="A10" s="3" t="s">
        <v>22</v>
      </c>
      <c r="B10" s="3">
        <v>2.010143E9</v>
      </c>
      <c r="C10" s="3">
        <v>1.6081144E9</v>
      </c>
      <c r="D10" s="3">
        <f t="shared" si="1"/>
        <v>402028600</v>
      </c>
      <c r="E10" s="3">
        <f t="shared" si="2"/>
        <v>2442602200</v>
      </c>
      <c r="F10" s="6"/>
      <c r="G10" s="42" t="s">
        <v>203</v>
      </c>
      <c r="H10" s="12"/>
      <c r="I10" s="12"/>
      <c r="J10" s="13"/>
      <c r="K10" s="43">
        <v>500000.0</v>
      </c>
    </row>
    <row r="11" ht="14.25" customHeight="1">
      <c r="A11" s="3" t="s">
        <v>24</v>
      </c>
      <c r="B11" s="3">
        <v>2.11065E9</v>
      </c>
      <c r="C11" s="3">
        <v>1.68852E9</v>
      </c>
      <c r="D11" s="3">
        <f t="shared" si="1"/>
        <v>422130000</v>
      </c>
      <c r="E11" s="3">
        <f t="shared" si="2"/>
        <v>2864732200</v>
      </c>
      <c r="F11" s="6"/>
      <c r="G11" s="44" t="s">
        <v>204</v>
      </c>
      <c r="H11" s="12"/>
      <c r="I11" s="12"/>
      <c r="J11" s="13"/>
      <c r="K11" s="45">
        <v>1123895.0</v>
      </c>
    </row>
    <row r="12" ht="14.25" customHeight="1">
      <c r="A12" s="3" t="s">
        <v>26</v>
      </c>
      <c r="B12" s="3">
        <v>2.216183E9</v>
      </c>
      <c r="C12" s="3">
        <v>1.7729464E9</v>
      </c>
      <c r="D12" s="3">
        <f t="shared" si="1"/>
        <v>443236600</v>
      </c>
      <c r="E12" s="3">
        <f t="shared" si="2"/>
        <v>3307968800</v>
      </c>
      <c r="F12" s="6"/>
      <c r="G12" s="46" t="s">
        <v>205</v>
      </c>
      <c r="H12" s="12"/>
      <c r="I12" s="12"/>
      <c r="J12" s="13"/>
      <c r="K12" s="38">
        <f>K10*12</f>
        <v>6000000</v>
      </c>
    </row>
    <row r="13" ht="14.25" customHeight="1">
      <c r="A13" s="3" t="s">
        <v>28</v>
      </c>
      <c r="B13" s="3">
        <v>2.326992E9</v>
      </c>
      <c r="C13" s="3">
        <v>1.8615936E9</v>
      </c>
      <c r="D13" s="3">
        <f t="shared" si="1"/>
        <v>465398400</v>
      </c>
      <c r="E13" s="3">
        <f t="shared" si="2"/>
        <v>3773367200</v>
      </c>
      <c r="F13" s="6"/>
    </row>
    <row r="14" ht="14.25" customHeight="1">
      <c r="A14" s="3" t="s">
        <v>30</v>
      </c>
      <c r="B14" s="3">
        <v>2.443341E9</v>
      </c>
      <c r="C14" s="3">
        <v>1.9546728E9</v>
      </c>
      <c r="D14" s="3">
        <f t="shared" si="1"/>
        <v>488668200</v>
      </c>
      <c r="E14" s="3">
        <f t="shared" si="2"/>
        <v>4262035400</v>
      </c>
      <c r="F14" s="6"/>
    </row>
    <row r="15" ht="14.25" customHeight="1">
      <c r="A15" s="3" t="s">
        <v>32</v>
      </c>
      <c r="B15" s="3">
        <v>2.565509E9</v>
      </c>
      <c r="C15" s="3">
        <v>2.0524072E9</v>
      </c>
      <c r="D15" s="3">
        <f t="shared" si="1"/>
        <v>513101800</v>
      </c>
      <c r="E15" s="3">
        <f t="shared" si="2"/>
        <v>4775137200</v>
      </c>
      <c r="F15" s="6"/>
      <c r="G15" s="47" t="s">
        <v>206</v>
      </c>
      <c r="H15" s="13"/>
      <c r="I15" s="36">
        <v>3000.0</v>
      </c>
    </row>
    <row r="16" ht="14.25" customHeight="1">
      <c r="A16" s="17"/>
      <c r="B16" s="17"/>
      <c r="C16" s="17"/>
      <c r="D16" s="17"/>
      <c r="E16" s="17"/>
      <c r="F16" s="6"/>
      <c r="G16" s="47" t="s">
        <v>207</v>
      </c>
      <c r="H16" s="13"/>
      <c r="I16" s="48">
        <f>I15*0.01</f>
        <v>30</v>
      </c>
    </row>
    <row r="17" ht="14.25" customHeight="1">
      <c r="A17" s="19" t="s">
        <v>136</v>
      </c>
      <c r="B17" s="19">
        <f t="shared" ref="B17:E17" si="3">SUM(B2:B15)</f>
        <v>23875686000</v>
      </c>
      <c r="C17" s="19">
        <f t="shared" si="3"/>
        <v>19100548800</v>
      </c>
      <c r="D17" s="8">
        <f t="shared" si="3"/>
        <v>4775137200</v>
      </c>
      <c r="E17" s="19">
        <f t="shared" si="3"/>
        <v>28277893200</v>
      </c>
      <c r="F17" s="6"/>
    </row>
    <row r="18" ht="14.25" customHeight="1">
      <c r="A18" s="17"/>
      <c r="B18" s="17"/>
      <c r="C18" s="17"/>
      <c r="D18" s="17"/>
      <c r="E18" s="17"/>
      <c r="G18" s="14"/>
      <c r="H18" s="15"/>
      <c r="I18" s="15"/>
      <c r="J18" s="15"/>
      <c r="K18" s="15"/>
    </row>
    <row r="19" ht="14.25" customHeight="1">
      <c r="G19" s="16"/>
      <c r="H19" s="16"/>
      <c r="I19" s="16"/>
      <c r="J19" s="16"/>
    </row>
    <row r="20" ht="14.25" customHeight="1">
      <c r="A20" s="34" t="s">
        <v>139</v>
      </c>
      <c r="B20" s="12"/>
      <c r="C20" s="12"/>
      <c r="D20" s="12"/>
      <c r="E20" s="13"/>
      <c r="G20" s="36" t="s">
        <v>208</v>
      </c>
    </row>
    <row r="21" ht="14.25" customHeight="1">
      <c r="A21" s="35" t="s">
        <v>0</v>
      </c>
      <c r="B21" s="49" t="s">
        <v>85</v>
      </c>
      <c r="C21" s="35" t="s">
        <v>86</v>
      </c>
      <c r="D21" s="35" t="s">
        <v>87</v>
      </c>
      <c r="E21" s="35" t="s">
        <v>88</v>
      </c>
      <c r="F21" s="16"/>
      <c r="G21" s="41">
        <f>D36-D17</f>
        <v>23831791</v>
      </c>
    </row>
    <row r="22" ht="14.25" customHeight="1">
      <c r="A22" s="17"/>
      <c r="B22" s="17"/>
      <c r="C22" s="17"/>
      <c r="D22" s="17"/>
      <c r="E22" s="17"/>
      <c r="F22" s="16"/>
    </row>
    <row r="23" ht="14.25" customHeight="1">
      <c r="A23" s="3" t="s">
        <v>7</v>
      </c>
      <c r="B23" s="50">
        <f t="shared" ref="B23:B34" si="4">B4*1.001</f>
        <v>1501500000</v>
      </c>
      <c r="C23" s="51">
        <f>C4+L6+K11</f>
        <v>1200043895</v>
      </c>
      <c r="D23" s="52">
        <f t="shared" ref="D23:D34" si="5">B23-C23</f>
        <v>301456105</v>
      </c>
      <c r="E23" s="52">
        <f>D23</f>
        <v>301456105</v>
      </c>
      <c r="F23" s="18"/>
      <c r="G23" s="49" t="s">
        <v>209</v>
      </c>
      <c r="H23" s="16"/>
      <c r="I23" s="16"/>
      <c r="J23" s="16"/>
    </row>
    <row r="24" ht="14.25" customHeight="1">
      <c r="A24" s="3" t="s">
        <v>12</v>
      </c>
      <c r="B24" s="50">
        <f t="shared" si="4"/>
        <v>1576575000</v>
      </c>
      <c r="C24" s="51">
        <f t="shared" ref="C24:C26" si="6">C5+L7+M44</f>
        <v>1260000000</v>
      </c>
      <c r="D24" s="52">
        <f t="shared" si="5"/>
        <v>316575000</v>
      </c>
      <c r="E24" s="52">
        <f t="shared" ref="E24:E34" si="7">E23+D24</f>
        <v>618031105</v>
      </c>
      <c r="F24" s="22"/>
      <c r="G24" s="53">
        <f>24551791/4775137200</f>
        <v>0.005141588602</v>
      </c>
      <c r="H24" s="16"/>
      <c r="I24" s="16"/>
      <c r="J24" s="16"/>
    </row>
    <row r="25" ht="14.25" customHeight="1">
      <c r="A25" s="3" t="s">
        <v>14</v>
      </c>
      <c r="B25" s="50">
        <f t="shared" si="4"/>
        <v>1655403750</v>
      </c>
      <c r="C25" s="51">
        <f t="shared" si="6"/>
        <v>1323000000</v>
      </c>
      <c r="D25" s="52">
        <f t="shared" si="5"/>
        <v>332403750</v>
      </c>
      <c r="E25" s="52">
        <f t="shared" si="7"/>
        <v>950434855</v>
      </c>
      <c r="F25" s="18"/>
      <c r="G25" s="16"/>
      <c r="H25" s="16"/>
      <c r="I25" s="16"/>
      <c r="J25" s="16"/>
    </row>
    <row r="26" ht="14.25" customHeight="1">
      <c r="A26" s="3" t="s">
        <v>16</v>
      </c>
      <c r="B26" s="50">
        <f t="shared" si="4"/>
        <v>1738173437</v>
      </c>
      <c r="C26" s="51">
        <f t="shared" si="6"/>
        <v>1389149600</v>
      </c>
      <c r="D26" s="52">
        <f t="shared" si="5"/>
        <v>349023837</v>
      </c>
      <c r="E26" s="52">
        <f t="shared" si="7"/>
        <v>1299458692</v>
      </c>
      <c r="F26" s="18"/>
      <c r="G26" s="16"/>
      <c r="H26" s="16"/>
      <c r="I26" s="16"/>
      <c r="J26" s="16"/>
    </row>
    <row r="27" ht="14.25" customHeight="1">
      <c r="A27" s="3" t="s">
        <v>18</v>
      </c>
      <c r="B27" s="50">
        <f t="shared" si="4"/>
        <v>1825082259</v>
      </c>
      <c r="C27" s="51">
        <f t="shared" ref="C27:C34" si="8">C8+N44+M47</f>
        <v>1458607200</v>
      </c>
      <c r="D27" s="52">
        <f t="shared" si="5"/>
        <v>366475059</v>
      </c>
      <c r="E27" s="52">
        <f t="shared" si="7"/>
        <v>1665933751</v>
      </c>
      <c r="F27" s="18"/>
      <c r="G27" s="16"/>
      <c r="H27" s="16"/>
      <c r="I27" s="16"/>
      <c r="J27" s="16"/>
    </row>
    <row r="28" ht="14.25" customHeight="1">
      <c r="A28" s="3" t="s">
        <v>20</v>
      </c>
      <c r="B28" s="50">
        <f t="shared" si="4"/>
        <v>1916336422</v>
      </c>
      <c r="C28" s="51">
        <f t="shared" si="8"/>
        <v>1531537600</v>
      </c>
      <c r="D28" s="52">
        <f t="shared" si="5"/>
        <v>384798822</v>
      </c>
      <c r="E28" s="52">
        <f t="shared" si="7"/>
        <v>2050732573</v>
      </c>
      <c r="F28" s="18"/>
      <c r="G28" s="16"/>
      <c r="H28" s="16"/>
      <c r="I28" s="16"/>
      <c r="J28" s="16"/>
    </row>
    <row r="29" ht="14.25" customHeight="1">
      <c r="A29" s="3" t="s">
        <v>22</v>
      </c>
      <c r="B29" s="50">
        <f t="shared" si="4"/>
        <v>2012153143</v>
      </c>
      <c r="C29" s="51">
        <f t="shared" si="8"/>
        <v>1608114400</v>
      </c>
      <c r="D29" s="52">
        <f t="shared" si="5"/>
        <v>404038743</v>
      </c>
      <c r="E29" s="52">
        <f t="shared" si="7"/>
        <v>2454771316</v>
      </c>
      <c r="F29" s="22"/>
      <c r="G29" s="16"/>
      <c r="H29" s="16"/>
      <c r="I29" s="16"/>
      <c r="J29" s="16"/>
    </row>
    <row r="30" ht="14.25" customHeight="1">
      <c r="A30" s="3" t="s">
        <v>24</v>
      </c>
      <c r="B30" s="50">
        <f t="shared" si="4"/>
        <v>2112760650</v>
      </c>
      <c r="C30" s="51">
        <f t="shared" si="8"/>
        <v>1688520000</v>
      </c>
      <c r="D30" s="52">
        <f t="shared" si="5"/>
        <v>424240650</v>
      </c>
      <c r="E30" s="52">
        <f t="shared" si="7"/>
        <v>2879011966</v>
      </c>
      <c r="F30" s="22"/>
      <c r="G30" s="16"/>
      <c r="H30" s="16"/>
      <c r="I30" s="16"/>
      <c r="J30" s="16"/>
    </row>
    <row r="31" ht="14.25" customHeight="1">
      <c r="A31" s="3" t="s">
        <v>26</v>
      </c>
      <c r="B31" s="50">
        <f t="shared" si="4"/>
        <v>2218399183</v>
      </c>
      <c r="C31" s="51">
        <f t="shared" si="8"/>
        <v>1772946400</v>
      </c>
      <c r="D31" s="52">
        <f t="shared" si="5"/>
        <v>445452783</v>
      </c>
      <c r="E31" s="52">
        <f t="shared" si="7"/>
        <v>3324464749</v>
      </c>
      <c r="F31" s="22"/>
      <c r="G31" s="16"/>
      <c r="H31" s="16"/>
      <c r="I31" s="16"/>
      <c r="J31" s="16"/>
    </row>
    <row r="32" ht="14.25" customHeight="1">
      <c r="A32" s="3" t="s">
        <v>28</v>
      </c>
      <c r="B32" s="50">
        <f t="shared" si="4"/>
        <v>2329318992</v>
      </c>
      <c r="C32" s="51">
        <f t="shared" si="8"/>
        <v>1861593600</v>
      </c>
      <c r="D32" s="52">
        <f t="shared" si="5"/>
        <v>467725392</v>
      </c>
      <c r="E32" s="52">
        <f t="shared" si="7"/>
        <v>3792190141</v>
      </c>
      <c r="F32" s="22"/>
      <c r="G32" s="18"/>
      <c r="H32" s="18"/>
      <c r="I32" s="18"/>
      <c r="J32" s="18"/>
    </row>
    <row r="33" ht="14.25" customHeight="1">
      <c r="A33" s="3" t="s">
        <v>30</v>
      </c>
      <c r="B33" s="50">
        <f t="shared" si="4"/>
        <v>2445784341</v>
      </c>
      <c r="C33" s="51">
        <f t="shared" si="8"/>
        <v>1954672800</v>
      </c>
      <c r="D33" s="52">
        <f t="shared" si="5"/>
        <v>491111541</v>
      </c>
      <c r="E33" s="52">
        <f t="shared" si="7"/>
        <v>4283301682</v>
      </c>
      <c r="F33" s="22"/>
    </row>
    <row r="34" ht="14.25" customHeight="1">
      <c r="A34" s="3" t="s">
        <v>32</v>
      </c>
      <c r="B34" s="50">
        <f t="shared" si="4"/>
        <v>2568074509</v>
      </c>
      <c r="C34" s="51">
        <f t="shared" si="8"/>
        <v>2052407200</v>
      </c>
      <c r="D34" s="52">
        <f t="shared" si="5"/>
        <v>515667309</v>
      </c>
      <c r="E34" s="52">
        <f t="shared" si="7"/>
        <v>4798968991</v>
      </c>
      <c r="F34" s="22"/>
    </row>
    <row r="35" ht="14.25" customHeight="1">
      <c r="A35" s="17"/>
      <c r="B35" s="23"/>
      <c r="C35" s="23"/>
      <c r="D35" s="23"/>
      <c r="E35" s="23"/>
      <c r="F35" s="22"/>
    </row>
    <row r="36" ht="14.25" customHeight="1">
      <c r="A36" s="19" t="s">
        <v>136</v>
      </c>
      <c r="B36" s="54">
        <f t="shared" ref="B36:E36" si="9">SUM(B21:B34)</f>
        <v>23899561686</v>
      </c>
      <c r="C36" s="54">
        <f t="shared" si="9"/>
        <v>19100592695</v>
      </c>
      <c r="D36" s="54">
        <f t="shared" si="9"/>
        <v>4798968991</v>
      </c>
      <c r="E36" s="54">
        <f t="shared" si="9"/>
        <v>28418755926</v>
      </c>
    </row>
    <row r="37" ht="14.25" customHeight="1">
      <c r="A37" s="14"/>
      <c r="B37" s="6"/>
      <c r="C37" s="6"/>
      <c r="D37" s="25"/>
    </row>
    <row r="38" ht="14.25" customHeight="1"/>
    <row r="39" ht="14.25" customHeight="1">
      <c r="A39" s="1" t="s">
        <v>77</v>
      </c>
      <c r="B39" s="1" t="s">
        <v>176</v>
      </c>
      <c r="C39" s="1" t="s">
        <v>177</v>
      </c>
      <c r="D39" s="1" t="s">
        <v>178</v>
      </c>
      <c r="E39" s="1" t="s">
        <v>179</v>
      </c>
      <c r="F39" s="1" t="s">
        <v>180</v>
      </c>
    </row>
    <row r="40" ht="14.25" customHeight="1">
      <c r="A40" s="1" t="s">
        <v>81</v>
      </c>
      <c r="B40" s="55" t="s">
        <v>181</v>
      </c>
      <c r="C40" s="56">
        <v>0.1075</v>
      </c>
      <c r="D40" s="56">
        <v>2.4</v>
      </c>
      <c r="E40" s="55">
        <v>8.0</v>
      </c>
      <c r="F40" s="55" t="s">
        <v>182</v>
      </c>
    </row>
    <row r="41" ht="14.25" customHeight="1">
      <c r="A41" s="1" t="s">
        <v>82</v>
      </c>
      <c r="B41" s="55" t="s">
        <v>183</v>
      </c>
      <c r="C41" s="56">
        <v>0.3253</v>
      </c>
      <c r="D41" s="56">
        <v>29.48</v>
      </c>
      <c r="E41" s="55">
        <v>3.0</v>
      </c>
      <c r="F41" s="55" t="s">
        <v>184</v>
      </c>
    </row>
    <row r="42" ht="14.25" customHeight="1">
      <c r="A42" s="1" t="s">
        <v>83</v>
      </c>
      <c r="B42" s="55" t="s">
        <v>185</v>
      </c>
      <c r="C42" s="56">
        <v>0.5305</v>
      </c>
      <c r="D42" s="55" t="s">
        <v>186</v>
      </c>
      <c r="E42" s="55">
        <v>2.0</v>
      </c>
      <c r="F42" s="55" t="s">
        <v>187</v>
      </c>
    </row>
    <row r="43" ht="14.25" customHeight="1"/>
    <row r="44" ht="14.25" customHeight="1">
      <c r="C44" s="27"/>
    </row>
    <row r="45" ht="14.25" customHeight="1">
      <c r="A45" s="28" t="s">
        <v>188</v>
      </c>
      <c r="B45" s="29" t="s">
        <v>189</v>
      </c>
      <c r="C45" s="29" t="s">
        <v>190</v>
      </c>
      <c r="D45" s="29" t="s">
        <v>191</v>
      </c>
      <c r="E45" s="29" t="s">
        <v>192</v>
      </c>
      <c r="F45" s="29" t="s">
        <v>193</v>
      </c>
    </row>
    <row r="46" ht="14.25" customHeight="1">
      <c r="A46" s="57" t="s">
        <v>85</v>
      </c>
      <c r="B46" s="58" t="s">
        <v>137</v>
      </c>
      <c r="C46" s="59" t="s">
        <v>210</v>
      </c>
      <c r="D46" s="59" t="s">
        <v>211</v>
      </c>
      <c r="E46" s="59" t="s">
        <v>212</v>
      </c>
      <c r="F46" s="59" t="s">
        <v>213</v>
      </c>
    </row>
    <row r="47" ht="14.25" customHeight="1">
      <c r="A47" s="57" t="s">
        <v>86</v>
      </c>
      <c r="B47" s="58" t="s">
        <v>138</v>
      </c>
      <c r="C47" s="59" t="s">
        <v>214</v>
      </c>
      <c r="D47" s="59" t="s">
        <v>215</v>
      </c>
      <c r="E47" s="59" t="s">
        <v>216</v>
      </c>
      <c r="F47" s="59" t="s">
        <v>217</v>
      </c>
    </row>
    <row r="48" ht="14.25" customHeight="1">
      <c r="A48" s="57" t="s">
        <v>87</v>
      </c>
      <c r="B48" s="60" t="s">
        <v>135</v>
      </c>
      <c r="C48" s="61" t="s">
        <v>218</v>
      </c>
      <c r="D48" s="61" t="s">
        <v>219</v>
      </c>
      <c r="E48" s="61" t="s">
        <v>220</v>
      </c>
      <c r="F48" s="61" t="s">
        <v>221</v>
      </c>
    </row>
    <row r="49" ht="14.25" customHeight="1">
      <c r="A49" s="31"/>
      <c r="B49" s="31"/>
      <c r="C49" s="31"/>
      <c r="D49" s="31"/>
      <c r="E49" s="31"/>
      <c r="F49" s="31"/>
    </row>
    <row r="50" ht="14.25" customHeight="1">
      <c r="A50" s="31"/>
      <c r="B50" s="31"/>
      <c r="C50" s="31"/>
      <c r="D50" s="31"/>
      <c r="E50" s="31"/>
      <c r="F50" s="31"/>
    </row>
    <row r="51" ht="14.25" customHeight="1">
      <c r="A51" s="28" t="s">
        <v>194</v>
      </c>
      <c r="B51" s="29" t="s">
        <v>189</v>
      </c>
      <c r="C51" s="29" t="s">
        <v>190</v>
      </c>
      <c r="D51" s="29" t="s">
        <v>191</v>
      </c>
      <c r="E51" s="29" t="s">
        <v>192</v>
      </c>
      <c r="F51" s="29" t="s">
        <v>193</v>
      </c>
    </row>
    <row r="52" ht="14.25" customHeight="1">
      <c r="A52" s="57" t="s">
        <v>85</v>
      </c>
      <c r="B52" s="58" t="s">
        <v>222</v>
      </c>
      <c r="C52" s="59" t="s">
        <v>223</v>
      </c>
      <c r="D52" s="59" t="s">
        <v>224</v>
      </c>
      <c r="E52" s="59" t="s">
        <v>225</v>
      </c>
      <c r="F52" s="59" t="s">
        <v>226</v>
      </c>
    </row>
    <row r="53" ht="14.25" customHeight="1">
      <c r="A53" s="57" t="s">
        <v>86</v>
      </c>
      <c r="B53" s="58" t="s">
        <v>227</v>
      </c>
      <c r="C53" s="59" t="s">
        <v>228</v>
      </c>
      <c r="D53" s="59" t="s">
        <v>229</v>
      </c>
      <c r="E53" s="59" t="s">
        <v>230</v>
      </c>
      <c r="F53" s="59" t="s">
        <v>231</v>
      </c>
    </row>
    <row r="54" ht="14.25" customHeight="1">
      <c r="A54" s="57" t="s">
        <v>87</v>
      </c>
      <c r="B54" s="60" t="s">
        <v>232</v>
      </c>
      <c r="C54" s="61" t="s">
        <v>233</v>
      </c>
      <c r="D54" s="61" t="s">
        <v>234</v>
      </c>
      <c r="E54" s="61" t="s">
        <v>235</v>
      </c>
      <c r="F54" s="61" t="s">
        <v>236</v>
      </c>
    </row>
    <row r="55" ht="14.25" customHeight="1"/>
    <row r="56" ht="14.25" customHeight="1">
      <c r="A56" s="32"/>
      <c r="B56" s="32"/>
      <c r="C56" s="32"/>
      <c r="D56" s="32"/>
      <c r="E56" s="32"/>
      <c r="F56" s="32"/>
      <c r="G56" s="32"/>
    </row>
    <row r="57" ht="14.25" customHeight="1">
      <c r="A57" s="32"/>
      <c r="B57" s="33"/>
      <c r="C57" s="32"/>
      <c r="D57" s="32"/>
      <c r="E57" s="32"/>
      <c r="F57" s="32"/>
      <c r="G57" s="32"/>
    </row>
    <row r="58" ht="14.25" customHeight="1">
      <c r="A58" s="32"/>
      <c r="B58" s="32"/>
      <c r="C58" s="32"/>
      <c r="D58" s="32"/>
      <c r="E58" s="32"/>
      <c r="F58" s="32"/>
      <c r="G58" s="32"/>
    </row>
    <row r="59" ht="14.25" customHeight="1">
      <c r="A59" s="32"/>
      <c r="B59" s="32"/>
      <c r="C59" s="32"/>
      <c r="D59" s="32"/>
      <c r="E59" s="32"/>
      <c r="F59" s="32"/>
      <c r="G59" s="32"/>
    </row>
    <row r="60" ht="14.25" customHeight="1">
      <c r="A60" s="32"/>
      <c r="B60" s="32"/>
      <c r="C60" s="32"/>
      <c r="D60" s="32"/>
      <c r="E60" s="32"/>
      <c r="F60" s="32"/>
      <c r="G60" s="32"/>
    </row>
    <row r="61" ht="14.25" customHeight="1">
      <c r="A61" s="32"/>
      <c r="B61" s="33"/>
      <c r="C61" s="32"/>
      <c r="D61" s="32"/>
      <c r="E61" s="32"/>
      <c r="F61" s="32"/>
      <c r="G61" s="32"/>
    </row>
    <row r="62" ht="14.25" customHeight="1">
      <c r="A62" s="32"/>
      <c r="B62" s="32"/>
      <c r="C62" s="32"/>
      <c r="D62" s="32"/>
      <c r="E62" s="32"/>
      <c r="F62" s="32"/>
      <c r="G62" s="32"/>
    </row>
    <row r="63" ht="14.25" customHeight="1">
      <c r="A63" s="32"/>
      <c r="B63" s="32"/>
      <c r="C63" s="32"/>
      <c r="D63" s="32"/>
      <c r="E63" s="32"/>
      <c r="F63" s="32"/>
      <c r="G63" s="32"/>
    </row>
    <row r="64" ht="14.25" customHeight="1">
      <c r="A64" s="32"/>
      <c r="B64" s="32"/>
      <c r="C64" s="32"/>
      <c r="D64" s="32"/>
      <c r="E64" s="32"/>
      <c r="F64" s="32"/>
      <c r="G64" s="32"/>
    </row>
    <row r="65" ht="14.25" customHeight="1">
      <c r="A65" s="32"/>
      <c r="B65" s="32"/>
      <c r="C65" s="32"/>
      <c r="D65" s="32"/>
      <c r="E65" s="32"/>
      <c r="F65" s="32"/>
      <c r="G65" s="32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8">
    <mergeCell ref="A1:E1"/>
    <mergeCell ref="H1:J1"/>
    <mergeCell ref="G10:J10"/>
    <mergeCell ref="G11:J11"/>
    <mergeCell ref="G12:J12"/>
    <mergeCell ref="A20:E20"/>
    <mergeCell ref="G16:H16"/>
    <mergeCell ref="G15:H15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2025-10-23T02:38:23Z</dcterms:created>
  <dc:creator>openpyxl</dc:creator>
</cp:coreProperties>
</file>